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581594_muni_cz/Documents/Alternativní vzdělávací přístupy – závěrečný projekt/"/>
    </mc:Choice>
  </mc:AlternateContent>
  <xr:revisionPtr revIDLastSave="19" documentId="13_ncr:1_{FC5415CC-8AE4-47AA-94CF-F66AB9AC1365}" xr6:coauthVersionLast="47" xr6:coauthVersionMax="47" xr10:uidLastSave="{6A31D78C-8E51-4849-BDC5-311C263AAF50}"/>
  <bookViews>
    <workbookView xWindow="-110" yWindow="-110" windowWidth="19420" windowHeight="11500" tabRatio="500" activeTab="4" xr2:uid="{00000000-000D-0000-FFFF-FFFF00000000}"/>
  </bookViews>
  <sheets>
    <sheet name="Prohlášení o použití AI, prompt" sheetId="6" r:id="rId1"/>
    <sheet name="Předpoklady" sheetId="1" r:id="rId2"/>
    <sheet name="Příjmy a financování" sheetId="2" r:id="rId3"/>
    <sheet name="Roční bilance" sheetId="3" r:id="rId4"/>
    <sheet name="Zřizovací náklady" sheetId="4" r:id="rId5"/>
    <sheet name="Alternativy financování" sheetId="5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B35" i="4"/>
  <c r="C25" i="4"/>
  <c r="C29" i="4" s="1"/>
  <c r="B25" i="4"/>
  <c r="B29" i="4" s="1"/>
  <c r="C19" i="4"/>
  <c r="C28" i="4" s="1"/>
  <c r="B19" i="4"/>
  <c r="B28" i="4" s="1"/>
  <c r="C10" i="4"/>
  <c r="C27" i="4" s="1"/>
  <c r="B10" i="4"/>
  <c r="B27" i="4" s="1"/>
  <c r="B30" i="4" s="1"/>
  <c r="B36" i="4" s="1"/>
  <c r="C8" i="3"/>
  <c r="C31" i="2"/>
  <c r="B31" i="2"/>
  <c r="B8" i="3" s="1"/>
  <c r="B26" i="2"/>
  <c r="B7" i="3" s="1"/>
  <c r="C21" i="2"/>
  <c r="B21" i="2"/>
  <c r="C16" i="2"/>
  <c r="C6" i="3" s="1"/>
  <c r="C15" i="2"/>
  <c r="B6" i="2"/>
  <c r="B7" i="2" s="1"/>
  <c r="B5" i="3" s="1"/>
  <c r="C27" i="1"/>
  <c r="C30" i="1" s="1"/>
  <c r="B27" i="1"/>
  <c r="B30" i="1" s="1"/>
  <c r="C17" i="1"/>
  <c r="C11" i="2" s="1"/>
  <c r="B17" i="1"/>
  <c r="B15" i="2" s="1"/>
  <c r="B16" i="2" s="1"/>
  <c r="B6" i="3" s="1"/>
  <c r="C16" i="1"/>
  <c r="C18" i="3" s="1"/>
  <c r="B16" i="1"/>
  <c r="B18" i="3" s="1"/>
  <c r="C11" i="1"/>
  <c r="B11" i="1"/>
  <c r="C7" i="1"/>
  <c r="C6" i="2" s="1"/>
  <c r="C7" i="2" s="1"/>
  <c r="C5" i="3" s="1"/>
  <c r="B7" i="1"/>
  <c r="C19" i="3" l="1"/>
  <c r="C20" i="3"/>
  <c r="C30" i="4"/>
  <c r="C36" i="4" s="1"/>
  <c r="B20" i="3"/>
  <c r="B19" i="3"/>
  <c r="B9" i="3"/>
  <c r="C24" i="2"/>
  <c r="C26" i="2" s="1"/>
  <c r="C7" i="3" s="1"/>
  <c r="C9" i="3" s="1"/>
  <c r="C18" i="1"/>
  <c r="B18" i="1"/>
  <c r="C12" i="3"/>
  <c r="B12" i="3"/>
  <c r="B9" i="2"/>
  <c r="B10" i="2" s="1"/>
  <c r="B12" i="2" s="1"/>
  <c r="C9" i="2"/>
  <c r="C10" i="2" s="1"/>
  <c r="C12" i="2" s="1"/>
  <c r="B11" i="2"/>
  <c r="C29" i="1" l="1"/>
  <c r="C31" i="1" s="1"/>
  <c r="C11" i="3"/>
  <c r="C13" i="3" s="1"/>
  <c r="C15" i="3" s="1"/>
  <c r="B29" i="1"/>
  <c r="B31" i="1" s="1"/>
  <c r="B11" i="3"/>
  <c r="B13" i="3" s="1"/>
  <c r="B15" i="3" s="1"/>
</calcChain>
</file>

<file path=xl/sharedStrings.xml><?xml version="1.0" encoding="utf-8"?>
<sst xmlns="http://schemas.openxmlformats.org/spreadsheetml/2006/main" count="258" uniqueCount="244">
  <si>
    <t>Prohlášení o použití AI</t>
  </si>
  <si>
    <t xml:space="preserve">Pro tvorbu této tabulky jsme použili claude AI od Anthropic: </t>
  </si>
  <si>
    <t xml:space="preserve">Prompt využitý pro tvorbu tabulky: </t>
  </si>
  <si>
    <t>Zpracuj finanční analýzu založení a provozu soukromé školy v Brně, situované v oblasti nového hlavního nádraží. Cílem je odhadnout počáteční investiční náklady, roční provozní náklady a  možné zdroje financování.
Při zpracování:
1. Odhadni předpokládané příjmy a výdaje školy včetně nákladů na budovu, vybavení, zaměstnance a běžný provoz.
2. Identifikuj všechny relevantní zdroje financování, zejména:
   * školné,
   * příspěvky rodičů,
   * státní normativní financování,
   * dotace Evropské unie,
   * dotace města Brna,
   * krajské, státní či jiné grantové programy,
   * případné sponzorské a nadační příspěvky.
3. Porovnej jednotlivé možnosti financování a navrhni nejvhodnější kombinaci zdrojů.
4. Explicitně uveď, zda by bylo realistické financovat mzdy pedagogů převážně ze státního normativu, ze školného, nebo kombinací obou zdrojů.
5. Vypracuj:
   * realistický scénář založení a provozu školy,
   * kreativní (ambicióznější) scénář založení a provozu školy.
6. Pro kreativní scénář vycházej z návrhu budovy „The Concept School Thesis Project (Fall 2019)“ dostupného na:
   https://www.jessicahamdesign.com/projects
7. Zohledni urbanistická a ekonomická specifika lokality v okolí nového hlavního nádraží v Brně.
8. Odhadni:
   * jednorázové náklady na zřízení školy,
   * roční náklady na běžný provoz,
   * potřebnou výši školného či příspěvků rodičů,
   * očekávatelnou výši veřejné podpory a dotací.
9. Výsledky prezentuj v přehledných tabulkách vhodných pro export do Excelu.
10. Na závěr stručně vysvětli použitou metodiku a hlavní předpoklady výpočtů.
U všech finančních údajů uveď, zda se jedná o odhad, a vysvětli logiku, z níž odhad vychází.</t>
  </si>
  <si>
    <t>Legenda: Modrá = vstupní hodnoty (lze měnit)   Černá = výpočty   Zelená = odkaz na jiný list</t>
  </si>
  <si>
    <t>Parametr</t>
  </si>
  <si>
    <t>Realistický scénář</t>
  </si>
  <si>
    <t>Kreativní scénář</t>
  </si>
  <si>
    <t>Poznámka / zdroj</t>
  </si>
  <si>
    <t>A) POČTY ŽÁKŮ A TŘÍD</t>
  </si>
  <si>
    <t>Žáci 1. stupně (1–5. roč.)</t>
  </si>
  <si>
    <t>16 žáků/třída × 15 tříd</t>
  </si>
  <si>
    <t>Žáci 2. stupně (6–9. roč.)</t>
  </si>
  <si>
    <t>25 žáků/třída × 8 tříd</t>
  </si>
  <si>
    <t>Celkem žáků</t>
  </si>
  <si>
    <t>Celkem</t>
  </si>
  <si>
    <t>Počet tříd celkem</t>
  </si>
  <si>
    <t>Dle konceptu školy</t>
  </si>
  <si>
    <t>Počet učitelů (pedagogů)</t>
  </si>
  <si>
    <t>Vč. třídních, spec. učitelů, asistentů</t>
  </si>
  <si>
    <t>Nepedagogičtí zaměstnanci</t>
  </si>
  <si>
    <t>Správa, administrativa, poradenství</t>
  </si>
  <si>
    <t>Celkem zaměstnanců</t>
  </si>
  <si>
    <t>Pedagogové + nepedagogové</t>
  </si>
  <si>
    <t>B) MZDY  (zdroj: MŠMT 2026 – průměrný plat pedagoga ZŠ)</t>
  </si>
  <si>
    <t>Prům. hrubý plat učitele / měsíc (Kč)</t>
  </si>
  <si>
    <t>Reál.: MŠMT 2026 normativ. Kreativ.: vyšší tarify pro atraktivitu</t>
  </si>
  <si>
    <t>Prům. hrubý plat nepedagog. / měsíc (Kč)</t>
  </si>
  <si>
    <t>Školník, admin, psycholog, asistenti – odhad</t>
  </si>
  <si>
    <t>Odvody zaměstnavatele (soc. + zdrav.)</t>
  </si>
  <si>
    <t>33,8 % z hrubé mzdy – zákonné odvody</t>
  </si>
  <si>
    <t>Roční mzdové náklady – pedagogové (Kč)</t>
  </si>
  <si>
    <t>Plat × počet učitelů × 12 měs × (1 + odvody)</t>
  </si>
  <si>
    <t>Roční mzdové náklady – nepedagogové (Kč)</t>
  </si>
  <si>
    <t>Plat × počet nepedagogů × 12 měs × (1 + odvody)</t>
  </si>
  <si>
    <t>CELKEM MZDOVÉ NÁKLADY / rok (Kč)</t>
  </si>
  <si>
    <t>C) PROVOZNÍ NÁKLADY / rok</t>
  </si>
  <si>
    <t>Energie (el., teplo, voda)</t>
  </si>
  <si>
    <t>Odhad pro budovu ~3 000 m²</t>
  </si>
  <si>
    <t>Údržba a opravy budovy</t>
  </si>
  <si>
    <t>~2–3 % pořizovací hodnoty / rok</t>
  </si>
  <si>
    <t>Učební pomůcky, literatura</t>
  </si>
  <si>
    <t>Vč. digitálních technologií</t>
  </si>
  <si>
    <t>IT infrastruktura, tablety, SW</t>
  </si>
  <si>
    <t>Daltonské tablety, servery</t>
  </si>
  <si>
    <t>Administrativní náklady</t>
  </si>
  <si>
    <t>Pojištění, právní, účetnictví</t>
  </si>
  <si>
    <t>Školní stravování (kofinancování)</t>
  </si>
  <si>
    <t>Dotace MČ pokryjí zbytek</t>
  </si>
  <si>
    <t>Projektové a ateliérové aktivity</t>
  </si>
  <si>
    <t>Exkurze, materiály, hosté</t>
  </si>
  <si>
    <t>CELKEM PROVOZNÍ NÁKLADY / rok (Kč)</t>
  </si>
  <si>
    <t>D) CELKOVÉ ROČNÍ NÁKLADY NA PROVOZ</t>
  </si>
  <si>
    <t>Mzdové náklady (Kč)</t>
  </si>
  <si>
    <t>Odkaz z části B</t>
  </si>
  <si>
    <t>Provozní náklady (Kč)</t>
  </si>
  <si>
    <t>Odkaz z části C</t>
  </si>
  <si>
    <t>CELKEM ROČNÍ VÝDAJE (Kč)</t>
  </si>
  <si>
    <t>ZŠ HORIZONT – PŘÍJMY A FINANCOVÁNÍ (roční provoz)</t>
  </si>
  <si>
    <t>Legenda: Modrá = vstupní hodnoty   Černá = výpočty   Zelená = odkaz na list Předpoklady</t>
  </si>
  <si>
    <t>Zdroj financování</t>
  </si>
  <si>
    <t>Realistický scénář (Kč/rok)</t>
  </si>
  <si>
    <t>Kreativní scénář (Kč/rok)</t>
  </si>
  <si>
    <t>Podmínky / poznámka</t>
  </si>
  <si>
    <t>1) STÁTNÍ NORMATIV (MŠMT) – pedagogické mzdy</t>
  </si>
  <si>
    <t>Normativ na žáka / rok – pedagogické mzdy (Kč)</t>
  </si>
  <si>
    <t>MŠMT 2026 odhad. Skutečný normativ závisí na krajském přepočtu.</t>
  </si>
  <si>
    <t>Počet žáků</t>
  </si>
  <si>
    <t>Odkaz z listu Předpoklady</t>
  </si>
  <si>
    <t>Celkem normativ MŠMT / rok (Kč)</t>
  </si>
  <si>
    <t>Normativ pokrývá přibližně 68–72 % celkových mzdových nákladů pedagogů.</t>
  </si>
  <si>
    <t>1b) DOPLATEK MZDOVÝCH NÁKLADŮ (normativ NESTAČÍ)</t>
  </si>
  <si>
    <t>Celkové mzdové náklady – pedagogové (Kč)</t>
  </si>
  <si>
    <t>Odkaz z listu Předpoklady – část B</t>
  </si>
  <si>
    <t>Doplatek pedagog. mezd nad normativ (Kč)</t>
  </si>
  <si>
    <t>Musí být pokryt zřizovatelem nebo školným.</t>
  </si>
  <si>
    <t>Celkové mzdové náklady – nepedagogové (Kč)</t>
  </si>
  <si>
    <t>Celkový doplatek mezd (pedagog. + nepedagog.) (Kč)</t>
  </si>
  <si>
    <t>Součet doplatku ped. mezd a plných nepedagog. nákladů.</t>
  </si>
  <si>
    <t>2) PŘÍSPĚVEK ZŘIZOVATELE (Město Brno / MČ)</t>
  </si>
  <si>
    <t>Příspěvek na provoz budovy od zřizovatele (Kč)</t>
  </si>
  <si>
    <t>Reál: MČ Brno-střed (ZŠ Kotlářská). Kreativ: nová čtvrť – nižší podpora v začátcích.</t>
  </si>
  <si>
    <t>Příspěvek na nepedagog. zaměstnance (Kč)</t>
  </si>
  <si>
    <t>Reál: od 9/2025 mzdy nepedagog. hradí zřizovatel (kraj/obec) dle novely ŠZ. Kreativ: soukromá škola – tento zdroj NEVZNIKÁ.</t>
  </si>
  <si>
    <t>Celkem od zřizovatele / rok (Kč)</t>
  </si>
  <si>
    <t>3) EU DOTACE – IROP 2021–2027 (investiční, jednorázové – viz list Zřizovací náklady)</t>
  </si>
  <si>
    <t>IROP SC 4.1 – modernizace ZŠ (infrastruktura)</t>
  </si>
  <si>
    <t>Reál: rekonstrukce ZŠ Kotlářská. Max 85 % způsob. nákladů. JMK = přechodový region.</t>
  </si>
  <si>
    <t>IROP – vybavení odborných učeben, IT</t>
  </si>
  <si>
    <t>Tablety, daltonské učebny, PC, přírodovědná lab.</t>
  </si>
  <si>
    <t>OP JAK – pedagogické inovace, inkluze</t>
  </si>
  <si>
    <t>Šablony pro školy (MŠMT). Opakuje se každé 3 roky.</t>
  </si>
  <si>
    <t>Celkem EU dotace (jednorázové, zřizovací fáze) (Kč)</t>
  </si>
  <si>
    <t>4) ŠKOLNÉ (POUZE kreativní scénář – soukromá škola)</t>
  </si>
  <si>
    <t>Školné / měsíc / žák (Kč)</t>
  </si>
  <si>
    <t>Reál: 0 – obecní škola školné NESMÍ vybírat. Kreativ: soukromá z.ú. (srov. Heuréka Brno 4 200 Kč, Rozmarýnová 6 340 Kč).</t>
  </si>
  <si>
    <t>Počet platících žáků</t>
  </si>
  <si>
    <t>Kreativ: všichni žáci platí školné.</t>
  </si>
  <si>
    <t>Měsíců školného za rok</t>
  </si>
  <si>
    <t>Září–červen (prázdniny se neplatí).</t>
  </si>
  <si>
    <t>Celkem školné / rok (Kč)</t>
  </si>
  <si>
    <t>5) DOPLŇKOVÉ PŘÍJMY</t>
  </si>
  <si>
    <t>Pronájem tělocvičny / sportovišť (večer, víkendy)</t>
  </si>
  <si>
    <t>Komunitní využití – reálný příjem u obou scénářů.</t>
  </si>
  <si>
    <t>Granty nadací (Kellner, NKJ, O2, ČS)</t>
  </si>
  <si>
    <t>Projektové aktivity, ateliéry, poradenství.</t>
  </si>
  <si>
    <t>Dary a příspěvky rodičů (SRPŠ / spolek)</t>
  </si>
  <si>
    <t>Dobrovolné příspěvky na mimoškolní aktivity.</t>
  </si>
  <si>
    <t>Celkem doplňkové příjmy / rok (Kč)</t>
  </si>
  <si>
    <t>ZŠ HORIZONT – ROČNÍ PROVOZNÍ BILANCE</t>
  </si>
  <si>
    <t>Všechna čísla jsou odkazována z listů Předpoklady a Příjmy a financování – změňte vstupní hodnoty tam.</t>
  </si>
  <si>
    <t>Položka</t>
  </si>
  <si>
    <t>Zdroj / list</t>
  </si>
  <si>
    <t>PŘÍJMY</t>
  </si>
  <si>
    <t>Normativ MŠMT (pedagog. mzdy)</t>
  </si>
  <si>
    <t>List Příjmy a financování – sekce 1</t>
  </si>
  <si>
    <t>Příspěvek zřizovatele (provoz + nepedagog. mzdy)</t>
  </si>
  <si>
    <t>List Příjmy a financování – sekce 2</t>
  </si>
  <si>
    <t>Školné (pouze soukromá škola)</t>
  </si>
  <si>
    <t>Reál: 0 (obecní škola). Kreativ: 440 žáků × 4 500 Kč × 10 měs.</t>
  </si>
  <si>
    <t>Doplňkové příjmy (pronájem, granty, dary)</t>
  </si>
  <si>
    <t>List Příjmy a financování – sekce 5</t>
  </si>
  <si>
    <t>CELKEM PŘÍJMY (Kč/rok)</t>
  </si>
  <si>
    <t>VÝDAJE</t>
  </si>
  <si>
    <t>Mzdové náklady – celkem</t>
  </si>
  <si>
    <t>List Předpoklady – část B (zahrnuje odvody)</t>
  </si>
  <si>
    <t>Provozní náklady – celkem</t>
  </si>
  <si>
    <t>List Předpoklady – část C</t>
  </si>
  <si>
    <t>CELKEM VÝDAJE (Kč/rok)</t>
  </si>
  <si>
    <t>SALDO A INTERPRETACE</t>
  </si>
  <si>
    <t>SALDO (příjmy − výdaje)</t>
  </si>
  <si>
    <t>Kladné = přebytek. Záporné = schodek – musí pokrýt zřizovatel.</t>
  </si>
  <si>
    <t>ANALÝZA POKRYTÍ MZDOVÝCH NÁKLADŮ NORMATIVEM</t>
  </si>
  <si>
    <t>Celkové mzdové náklady pedagogů (Kč)</t>
  </si>
  <si>
    <t>Odkaz – Předpoklady část B</t>
  </si>
  <si>
    <t>Normativ MŠMT (Kč)</t>
  </si>
  <si>
    <t>Pokrytí normativem (%)</t>
  </si>
  <si>
    <t>Cíl: ≥ 100 %. Pokud &lt; 100 %, doplatek hradí zřizovatel nebo školné.</t>
  </si>
  <si>
    <t>REALISTICKÝ SCÉNÁŘ (obecní škola): Normativ MŠMT pokrývá přibližně 68–72 % mzdových nákladů pedagogů. Zřizovatel (MČ Brno-střed) hradí mzdy nepedagogických zaměstnanců i provozní příspěvek. Celkový schodek nese zřizovatel z municipálního rozpočtu – takto funguje většina veřejných ZŠ v ČR. Školné NELZE vybírat.</t>
  </si>
  <si>
    <t>KREATIVNÍ SCÉNÁŘ (soukromá z.ú.): Normativ MŠMT pokrývá 68–72 % ped. mezd – zbytek kryje školné. Školné 4 500 Kč/měsíc odpovídá brněnskému trhu (Heuréka Brno ≈ 4 200 Kč). Provozní přebytek ~8 mil. Kč/rok slouží jako rezerva a splácení investičního úvěru/dotačního kofinancování. Zřizovatel (soukromý subjekt) nehradí mzdy nepedagogů – ty musí pokrýt školné nebo granty.</t>
  </si>
  <si>
    <t>Jednorázové náklady vzniklé při zřízení školy. Provozní náklady viz list Předpoklady.</t>
  </si>
  <si>
    <t>Realistický scénář (Kč)</t>
  </si>
  <si>
    <t>Kreativní scénář (Kč)</t>
  </si>
  <si>
    <t>Poznámka</t>
  </si>
  <si>
    <t>A) STAVEBNÍ NÁKLADY</t>
  </si>
  <si>
    <t>Rekonstrukce budovy – ZŠ Kotlářská (~2 500 m² × 12 000 Kč/m²)</t>
  </si>
  <si>
    <t>Reál: odhad rekonstrukce stávající budovy.</t>
  </si>
  <si>
    <t>Novostavba – pozemek (čtvrť Trnitá)</t>
  </si>
  <si>
    <t>Kre: orientační cena pozemku dle územního plánu.</t>
  </si>
  <si>
    <t>Novostavba – budova (~8 000 m² × 60 000 Kč/m²)</t>
  </si>
  <si>
    <t>Kre: 2 propojené budovy. Ref. cena: nová ZŠ Brno ~560 mil.</t>
  </si>
  <si>
    <t>Bezbariérovost, výtah (realistický scénář)</t>
  </si>
  <si>
    <t>Výtah dostupný z budovy 2. stupně.</t>
  </si>
  <si>
    <t>Venkovní sportoviště, záhony, hřiště</t>
  </si>
  <si>
    <t>Univerzální sportoviště + zahradní plochy.</t>
  </si>
  <si>
    <t>Celkem stavební náklady (Kč)</t>
  </si>
  <si>
    <t>B) VYBAVENÍ A TECHNOLOGIE</t>
  </si>
  <si>
    <t>Školní nábytek – 1. stupeň (15 tříd × cca 120 tis. Kč)</t>
  </si>
  <si>
    <t>Modulární nábytek, skříňky, relaxační kouty.</t>
  </si>
  <si>
    <t>Daltonské učebny – vybavení (4 učebny × 625 tis.)</t>
  </si>
  <si>
    <t>Přesouvatelný nábytek, 40 tabletů, centrální PC.</t>
  </si>
  <si>
    <t>Odborné učebny (přírodovědná, chem. lab., IT, jazyky)</t>
  </si>
  <si>
    <t>Laboratoře, interakt. tabule, 30 PC.</t>
  </si>
  <si>
    <t>Knihovna – vybavení a knižní fond</t>
  </si>
  <si>
    <t>Tělocvičny – vybavení (2 tělocvičny)</t>
  </si>
  <si>
    <t>Malá + velká tělocvična.</t>
  </si>
  <si>
    <t>IT infrastruktura, servery, projektory</t>
  </si>
  <si>
    <t>Síťová infrastruktura, cloud, projektory.</t>
  </si>
  <si>
    <t>Školní jídelna – vybavení kuchyně</t>
  </si>
  <si>
    <t>Celkem vybavení (Kč)</t>
  </si>
  <si>
    <t>C) SOFT-START A ADMINISTRATIVA</t>
  </si>
  <si>
    <t>Právní zřízení školy, akreditace, ŠVP</t>
  </si>
  <si>
    <t>Zápis do školského rejstříku, právní poradenství.</t>
  </si>
  <si>
    <t>Nábor a onboarding personálu (1. rok)</t>
  </si>
  <si>
    <t>Inzerce, uvádějící učitelé, adaptační programy.</t>
  </si>
  <si>
    <t>Marketing a komunikace s komunitou</t>
  </si>
  <si>
    <t>Web, info pro rodiče, komunitní setkání.</t>
  </si>
  <si>
    <t>Provozní rezerva (3 měsíce provozu)</t>
  </si>
  <si>
    <t>Bezpečnostní polštář před plným naplněním kapacity.</t>
  </si>
  <si>
    <t>Celkem soft-start (Kč)</t>
  </si>
  <si>
    <t>D) CELKOVÉ ZŘIZOVACÍ NÁKLADY A JEJICH KRYTÍ</t>
  </si>
  <si>
    <t>Stavební náklady (Kč)</t>
  </si>
  <si>
    <t>Vybavení (Kč)</t>
  </si>
  <si>
    <t>Soft-start a rezerva (Kč)</t>
  </si>
  <si>
    <t>CELKEM ZŘIZOVACÍ NÁKLADY (Kč)</t>
  </si>
  <si>
    <t>FINANCOVÁNÍ ZŘIZOVACÍCH NÁKLADŮ</t>
  </si>
  <si>
    <t>IROP – vzdělávací infrastruktura (max 85 % způsob. nákladů)</t>
  </si>
  <si>
    <t>Reál: max ~17 mil. Kč na rekonstrukci. Kre: 85 % z invest. výdajů novostavby.</t>
  </si>
  <si>
    <t>Příspěvek Města Brna / MČ</t>
  </si>
  <si>
    <t>Reál: MČ Brno-střed. Kre: Město Brno jako klíčový spoluzřizovatel nové čtvrti.</t>
  </si>
  <si>
    <t>Vlastní zdroje / nadace / dárci / fundraising</t>
  </si>
  <si>
    <t>Kellner Family Fund, NKJ, nadace České spořitelny, crowdfunding.</t>
  </si>
  <si>
    <t>Celkem pokryto z externích zdrojů (Kč)</t>
  </si>
  <si>
    <t>ZBÝVÁ DOPLATIT – vlastní zdroje / dlouhodobý úvěr (Kč)</t>
  </si>
  <si>
    <t>Reál: pokrytí vlastními zdroji / úvěr obce. Kre: dlouhodobý municipální úvěr nebo PPP.</t>
  </si>
  <si>
    <t>ZŠ HORIZONT – PŘEHLED ALTERNATIV FINANCOVÁNÍ</t>
  </si>
  <si>
    <t>Zdroj / program</t>
  </si>
  <si>
    <t>Typ</t>
  </si>
  <si>
    <t>STÁTNÍ / NORMATIVNÍ</t>
  </si>
  <si>
    <t>Normativ MŠMT – pedagog. mzdy</t>
  </si>
  <si>
    <t>Státní/roční</t>
  </si>
  <si>
    <t>Automaticky po zápisu do schulského rejstříku. Pokrývá cca 68–72 % mzdových nákladů pedagogů.</t>
  </si>
  <si>
    <t>Příspěvek zřizovatele – provoz</t>
  </si>
  <si>
    <t>Obecní/roční</t>
  </si>
  <si>
    <t>Podmíněno tím, kdo je zřizovatel. Obecní škola: jistota. Soukromá z.ú.: min. nebo žádná podpora.</t>
  </si>
  <si>
    <t>Příspěvek zřizovatele – nepedagog. mzdy</t>
  </si>
  <si>
    <t>Od 9/2025 přechází na kraj/obec. Realistický scénář (obecní škola) je výhodný.</t>
  </si>
  <si>
    <t>EU FONDY – INVESTIČNÍ</t>
  </si>
  <si>
    <t>IROP 2021–2027 – SC 4.1 ZŠ</t>
  </si>
  <si>
    <t>EU/jednorázový</t>
  </si>
  <si>
    <t>Modernizace ZŠ, odborné učebny, bezbariérový přístup. JMK = přechodový region (85 % dotace).</t>
  </si>
  <si>
    <t>OP JAK – Šablony pro školy</t>
  </si>
  <si>
    <t>EU/opakovaný</t>
  </si>
  <si>
    <t>MŠMT, každé 3 roky. Pedagogické inovace, inkluze, daltonská výuka – přesně odpovídá konceptu.</t>
  </si>
  <si>
    <t>OP JAK – Inovativní vzdělávání</t>
  </si>
  <si>
    <t>EU/projektový</t>
  </si>
  <si>
    <t>Výzkumné projekty, spolupráce s VŠ (MU, VUT Brno).</t>
  </si>
  <si>
    <t>NADACE A SOUKROMÉ ZDROJE</t>
  </si>
  <si>
    <t>Nadace Kellner Family Fund</t>
  </si>
  <si>
    <t>Nadační/grant</t>
  </si>
  <si>
    <t>Zaměřena na alternativní vzdělávání v ČR. Výzvy 1× ročně. Max ~2–5 mil. Kč.</t>
  </si>
  <si>
    <t>Nadace Karla Janečka (NKJ)</t>
  </si>
  <si>
    <t>Projekty ve vzdělávání a kritickém myšlení. Max ~1–3 mil. Kč.</t>
  </si>
  <si>
    <t>Nadace O2 – digitální vzdělávání</t>
  </si>
  <si>
    <t>IT vybavení, digitální kompetence. Max ~500 tis. Kč.</t>
  </si>
  <si>
    <t>Nadace České spořitelny</t>
  </si>
  <si>
    <t>Komunitní projekty, inkluze. Max ~1 mil. Kč.</t>
  </si>
  <si>
    <t>ŠKOLNÉ A VLASTNÍ PŘÍJMY</t>
  </si>
  <si>
    <t>Vlastní/roční</t>
  </si>
  <si>
    <t>Obecní škola školné NESMÍ vybírat. Soukromá z.ú.: 3 000–6 000 Kč/měs (Heuréka 4 200 Kč, Rozmarýnová 6 340 Kč).</t>
  </si>
  <si>
    <t>Pronájem tělocvičny / prostor</t>
  </si>
  <si>
    <t>Večery, víkendy. Brno: reálně 400–600 tis. Kč/rok.</t>
  </si>
  <si>
    <t>Dobrovolné příspěvky rodičů (SRPŠ)</t>
  </si>
  <si>
    <t>Spolek rodičů. Bez DPH, bez povinnosti. ~500–1 500 Kč/žák/rok.</t>
  </si>
  <si>
    <t>SPECIÁLNÍ / SITUAČNÍ</t>
  </si>
  <si>
    <t>Příspěvek JMK – inkluze, SVP</t>
  </si>
  <si>
    <t>Krajský/roční</t>
  </si>
  <si>
    <t>Podpůrná opatření, asistenti, poradenské pracoviště.</t>
  </si>
  <si>
    <t>SFŽP – zeleň, udržitelnost</t>
  </si>
  <si>
    <t>Státní/invest.</t>
  </si>
  <si>
    <t>Kreativní scénář: zelená střecha, záhony, udržitelná architektura.</t>
  </si>
  <si>
    <t>Komunitní dluhopisy / crowdfunding</t>
  </si>
  <si>
    <t>Alternativní</t>
  </si>
  <si>
    <t>Netradiční, ale možné. Příklady ze zahraničí (DK, NL). V ČR spíše doplňkové.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</si>
</sst>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#,##0&quot; Kč&quot;;\(#,##0&quot; Kč)&quot;;\-"/>
  </numFmts>
  <fonts count="17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1"/>
      <color rgb="FFCC0000"/>
      <name val="Arial"/>
      <charset val="1"/>
    </font>
    <font>
      <b/>
      <sz val="11"/>
      <color rgb="FF000000"/>
      <name val="Arial"/>
      <charset val="1"/>
    </font>
    <font>
      <i/>
      <sz val="9"/>
      <color rgb="FF333333"/>
      <name val="Arial"/>
      <charset val="1"/>
    </font>
    <font>
      <b/>
      <sz val="10"/>
      <color rgb="FFCC0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18"/>
      <color rgb="FFFFFFFF"/>
      <name val="Arial"/>
      <family val="2"/>
      <charset val="238"/>
    </font>
    <font>
      <sz val="10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E2F0D9"/>
        <bgColor rgb="FFEBF4EB"/>
      </patternFill>
    </fill>
    <fill>
      <patternFill patternType="solid">
        <fgColor rgb="FFEDEDED"/>
        <bgColor rgb="FFEBF4EB"/>
      </patternFill>
    </fill>
    <fill>
      <patternFill patternType="solid">
        <fgColor rgb="FFFFF2CC"/>
        <bgColor rgb="FFEBF4EB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E2F0D9"/>
      </patternFill>
    </fill>
    <fill>
      <patternFill patternType="solid">
        <fgColor rgb="FFEBF3FB"/>
        <bgColor rgb="FFEBF4EB"/>
      </patternFill>
    </fill>
    <fill>
      <patternFill patternType="solid">
        <fgColor rgb="FFEBF4EB"/>
        <bgColor rgb="FFEBF3FB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555555"/>
      </bottom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555555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 indent="1"/>
    </xf>
    <xf numFmtId="164" fontId="6" fillId="0" borderId="4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7" borderId="7" xfId="0" applyFont="1" applyFill="1" applyBorder="1" applyAlignment="1">
      <alignment horizontal="right" vertical="center"/>
    </xf>
    <xf numFmtId="0" fontId="7" fillId="0" borderId="8" xfId="0" applyFont="1" applyBorder="1" applyAlignment="1">
      <alignment vertical="center" wrapText="1"/>
    </xf>
    <xf numFmtId="165" fontId="6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 applyAlignment="1">
      <alignment horizontal="right" vertical="center"/>
    </xf>
    <xf numFmtId="166" fontId="3" fillId="7" borderId="7" xfId="0" applyNumberFormat="1" applyFont="1" applyFill="1" applyBorder="1" applyAlignment="1">
      <alignment horizontal="right" vertical="center"/>
    </xf>
    <xf numFmtId="166" fontId="6" fillId="0" borderId="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 wrapText="1" indent="1"/>
    </xf>
    <xf numFmtId="166" fontId="3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166" fontId="8" fillId="8" borderId="7" xfId="0" applyNumberFormat="1" applyFont="1" applyFill="1" applyBorder="1" applyAlignment="1">
      <alignment horizontal="right" vertical="center"/>
    </xf>
    <xf numFmtId="166" fontId="9" fillId="9" borderId="7" xfId="0" applyNumberFormat="1" applyFont="1" applyFill="1" applyBorder="1" applyAlignment="1">
      <alignment horizontal="right" vertical="center"/>
    </xf>
    <xf numFmtId="165" fontId="3" fillId="0" borderId="4" xfId="0" applyNumberFormat="1" applyFont="1" applyBorder="1" applyAlignment="1">
      <alignment horizontal="right" vertical="center"/>
    </xf>
    <xf numFmtId="166" fontId="11" fillId="7" borderId="7" xfId="0" applyNumberFormat="1" applyFont="1" applyFill="1" applyBorder="1" applyAlignment="1">
      <alignment horizontal="right" vertical="center"/>
    </xf>
    <xf numFmtId="0" fontId="13" fillId="0" borderId="3" xfId="0" applyFont="1" applyBorder="1" applyAlignment="1">
      <alignment vertical="center" wrapText="1" indent="1"/>
    </xf>
    <xf numFmtId="0" fontId="13" fillId="0" borderId="4" xfId="0" applyFont="1" applyBorder="1" applyAlignment="1">
      <alignment vertical="center" wrapText="1"/>
    </xf>
    <xf numFmtId="166" fontId="14" fillId="0" borderId="4" xfId="0" applyNumberFormat="1" applyFont="1" applyBorder="1" applyAlignment="1">
      <alignment vertical="center" wrapText="1"/>
    </xf>
    <xf numFmtId="166" fontId="14" fillId="0" borderId="5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10" borderId="0" xfId="0" applyFont="1" applyFill="1" applyAlignment="1">
      <alignment vertical="top" wrapText="1"/>
    </xf>
    <xf numFmtId="0" fontId="10" fillId="11" borderId="0" xfId="0" applyFont="1" applyFill="1" applyAlignment="1">
      <alignment vertical="top" wrapText="1"/>
    </xf>
    <xf numFmtId="0" fontId="12" fillId="2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EB"/>
      <rgbColor rgb="FFC6EFCE"/>
      <rgbColor rgb="FFE2F0D9"/>
      <rgbColor rgb="FFEDEDED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5EBD-8816-4F71-B47F-B4173687FDFF}">
  <dimension ref="C1:G63"/>
  <sheetViews>
    <sheetView topLeftCell="A30" workbookViewId="0">
      <selection activeCell="M14" sqref="M14"/>
    </sheetView>
  </sheetViews>
  <sheetFormatPr defaultRowHeight="14.45"/>
  <cols>
    <col min="6" max="6" width="17.42578125" customWidth="1"/>
  </cols>
  <sheetData>
    <row r="1" spans="3:7" ht="15" thickBot="1"/>
    <row r="2" spans="3:7" ht="23.45" customHeight="1" thickBot="1">
      <c r="C2" s="28" t="s">
        <v>0</v>
      </c>
      <c r="D2" s="29"/>
      <c r="E2" s="29"/>
      <c r="F2" s="30"/>
    </row>
    <row r="4" spans="3:7">
      <c r="C4" t="s">
        <v>1</v>
      </c>
    </row>
    <row r="7" spans="3:7">
      <c r="C7" t="s">
        <v>2</v>
      </c>
    </row>
    <row r="8" spans="3:7">
      <c r="C8" s="31" t="s">
        <v>3</v>
      </c>
      <c r="D8" s="32"/>
      <c r="E8" s="32"/>
      <c r="F8" s="32"/>
      <c r="G8" s="32"/>
    </row>
    <row r="9" spans="3:7">
      <c r="C9" s="32"/>
      <c r="D9" s="32"/>
      <c r="E9" s="32"/>
      <c r="F9" s="32"/>
      <c r="G9" s="32"/>
    </row>
    <row r="10" spans="3:7">
      <c r="C10" s="32"/>
      <c r="D10" s="32"/>
      <c r="E10" s="32"/>
      <c r="F10" s="32"/>
      <c r="G10" s="32"/>
    </row>
    <row r="11" spans="3:7">
      <c r="C11" s="32"/>
      <c r="D11" s="32"/>
      <c r="E11" s="32"/>
      <c r="F11" s="32"/>
      <c r="G11" s="32"/>
    </row>
    <row r="12" spans="3:7">
      <c r="C12" s="32"/>
      <c r="D12" s="32"/>
      <c r="E12" s="32"/>
      <c r="F12" s="32"/>
      <c r="G12" s="32"/>
    </row>
    <row r="13" spans="3:7">
      <c r="C13" s="32"/>
      <c r="D13" s="32"/>
      <c r="E13" s="32"/>
      <c r="F13" s="32"/>
      <c r="G13" s="32"/>
    </row>
    <row r="14" spans="3:7">
      <c r="C14" s="32"/>
      <c r="D14" s="32"/>
      <c r="E14" s="32"/>
      <c r="F14" s="32"/>
      <c r="G14" s="32"/>
    </row>
    <row r="15" spans="3:7">
      <c r="C15" s="32"/>
      <c r="D15" s="32"/>
      <c r="E15" s="32"/>
      <c r="F15" s="32"/>
      <c r="G15" s="32"/>
    </row>
    <row r="16" spans="3:7">
      <c r="C16" s="32"/>
      <c r="D16" s="32"/>
      <c r="E16" s="32"/>
      <c r="F16" s="32"/>
      <c r="G16" s="32"/>
    </row>
    <row r="17" spans="3:7">
      <c r="C17" s="32"/>
      <c r="D17" s="32"/>
      <c r="E17" s="32"/>
      <c r="F17" s="32"/>
      <c r="G17" s="32"/>
    </row>
    <row r="18" spans="3:7">
      <c r="C18" s="32"/>
      <c r="D18" s="32"/>
      <c r="E18" s="32"/>
      <c r="F18" s="32"/>
      <c r="G18" s="32"/>
    </row>
    <row r="19" spans="3:7">
      <c r="C19" s="32"/>
      <c r="D19" s="32"/>
      <c r="E19" s="32"/>
      <c r="F19" s="32"/>
      <c r="G19" s="32"/>
    </row>
    <row r="20" spans="3:7">
      <c r="C20" s="32"/>
      <c r="D20" s="32"/>
      <c r="E20" s="32"/>
      <c r="F20" s="32"/>
      <c r="G20" s="32"/>
    </row>
    <row r="21" spans="3:7">
      <c r="C21" s="32"/>
      <c r="D21" s="32"/>
      <c r="E21" s="32"/>
      <c r="F21" s="32"/>
      <c r="G21" s="32"/>
    </row>
    <row r="22" spans="3:7">
      <c r="C22" s="32"/>
      <c r="D22" s="32"/>
      <c r="E22" s="32"/>
      <c r="F22" s="32"/>
      <c r="G22" s="32"/>
    </row>
    <row r="23" spans="3:7">
      <c r="C23" s="32"/>
      <c r="D23" s="32"/>
      <c r="E23" s="32"/>
      <c r="F23" s="32"/>
      <c r="G23" s="32"/>
    </row>
    <row r="24" spans="3:7">
      <c r="C24" s="32"/>
      <c r="D24" s="32"/>
      <c r="E24" s="32"/>
      <c r="F24" s="32"/>
      <c r="G24" s="32"/>
    </row>
    <row r="25" spans="3:7">
      <c r="C25" s="32"/>
      <c r="D25" s="32"/>
      <c r="E25" s="32"/>
      <c r="F25" s="32"/>
      <c r="G25" s="32"/>
    </row>
    <row r="26" spans="3:7">
      <c r="C26" s="32"/>
      <c r="D26" s="32"/>
      <c r="E26" s="32"/>
      <c r="F26" s="32"/>
      <c r="G26" s="32"/>
    </row>
    <row r="27" spans="3:7">
      <c r="C27" s="32"/>
      <c r="D27" s="32"/>
      <c r="E27" s="32"/>
      <c r="F27" s="32"/>
      <c r="G27" s="32"/>
    </row>
    <row r="28" spans="3:7">
      <c r="C28" s="32"/>
      <c r="D28" s="32"/>
      <c r="E28" s="32"/>
      <c r="F28" s="32"/>
      <c r="G28" s="32"/>
    </row>
    <row r="29" spans="3:7">
      <c r="C29" s="32"/>
      <c r="D29" s="32"/>
      <c r="E29" s="32"/>
      <c r="F29" s="32"/>
      <c r="G29" s="32"/>
    </row>
    <row r="30" spans="3:7">
      <c r="C30" s="32"/>
      <c r="D30" s="32"/>
      <c r="E30" s="32"/>
      <c r="F30" s="32"/>
      <c r="G30" s="32"/>
    </row>
    <row r="31" spans="3:7">
      <c r="C31" s="32"/>
      <c r="D31" s="32"/>
      <c r="E31" s="32"/>
      <c r="F31" s="32"/>
      <c r="G31" s="32"/>
    </row>
    <row r="32" spans="3:7">
      <c r="C32" s="32"/>
      <c r="D32" s="32"/>
      <c r="E32" s="32"/>
      <c r="F32" s="32"/>
      <c r="G32" s="32"/>
    </row>
    <row r="33" spans="3:7">
      <c r="C33" s="32"/>
      <c r="D33" s="32"/>
      <c r="E33" s="32"/>
      <c r="F33" s="32"/>
      <c r="G33" s="32"/>
    </row>
    <row r="34" spans="3:7">
      <c r="C34" s="32"/>
      <c r="D34" s="32"/>
      <c r="E34" s="32"/>
      <c r="F34" s="32"/>
      <c r="G34" s="32"/>
    </row>
    <row r="35" spans="3:7">
      <c r="C35" s="32"/>
      <c r="D35" s="32"/>
      <c r="E35" s="32"/>
      <c r="F35" s="32"/>
      <c r="G35" s="32"/>
    </row>
    <row r="36" spans="3:7">
      <c r="C36" s="32"/>
      <c r="D36" s="32"/>
      <c r="E36" s="32"/>
      <c r="F36" s="32"/>
      <c r="G36" s="32"/>
    </row>
    <row r="37" spans="3:7">
      <c r="C37" s="32"/>
      <c r="D37" s="32"/>
      <c r="E37" s="32"/>
      <c r="F37" s="32"/>
      <c r="G37" s="32"/>
    </row>
    <row r="38" spans="3:7">
      <c r="C38" s="32"/>
      <c r="D38" s="32"/>
      <c r="E38" s="32"/>
      <c r="F38" s="32"/>
      <c r="G38" s="32"/>
    </row>
    <row r="39" spans="3:7">
      <c r="C39" s="32"/>
      <c r="D39" s="32"/>
      <c r="E39" s="32"/>
      <c r="F39" s="32"/>
      <c r="G39" s="32"/>
    </row>
    <row r="40" spans="3:7">
      <c r="C40" s="32"/>
      <c r="D40" s="32"/>
      <c r="E40" s="32"/>
      <c r="F40" s="32"/>
      <c r="G40" s="32"/>
    </row>
    <row r="41" spans="3:7">
      <c r="C41" s="32"/>
      <c r="D41" s="32"/>
      <c r="E41" s="32"/>
      <c r="F41" s="32"/>
      <c r="G41" s="32"/>
    </row>
    <row r="42" spans="3:7">
      <c r="C42" s="32"/>
      <c r="D42" s="32"/>
      <c r="E42" s="32"/>
      <c r="F42" s="32"/>
      <c r="G42" s="32"/>
    </row>
    <row r="43" spans="3:7">
      <c r="C43" s="32"/>
      <c r="D43" s="32"/>
      <c r="E43" s="32"/>
      <c r="F43" s="32"/>
      <c r="G43" s="32"/>
    </row>
    <row r="44" spans="3:7">
      <c r="C44" s="32"/>
      <c r="D44" s="32"/>
      <c r="E44" s="32"/>
      <c r="F44" s="32"/>
      <c r="G44" s="32"/>
    </row>
    <row r="45" spans="3:7">
      <c r="C45" s="32"/>
      <c r="D45" s="32"/>
      <c r="E45" s="32"/>
      <c r="F45" s="32"/>
      <c r="G45" s="32"/>
    </row>
    <row r="46" spans="3:7">
      <c r="C46" s="32"/>
      <c r="D46" s="32"/>
      <c r="E46" s="32"/>
      <c r="F46" s="32"/>
      <c r="G46" s="32"/>
    </row>
    <row r="47" spans="3:7">
      <c r="C47" s="32"/>
      <c r="D47" s="32"/>
      <c r="E47" s="32"/>
      <c r="F47" s="32"/>
      <c r="G47" s="32"/>
    </row>
    <row r="48" spans="3:7">
      <c r="C48" s="32"/>
      <c r="D48" s="32"/>
      <c r="E48" s="32"/>
      <c r="F48" s="32"/>
      <c r="G48" s="32"/>
    </row>
    <row r="49" spans="3:7">
      <c r="C49" s="32"/>
      <c r="D49" s="32"/>
      <c r="E49" s="32"/>
      <c r="F49" s="32"/>
      <c r="G49" s="32"/>
    </row>
    <row r="50" spans="3:7">
      <c r="C50" s="32"/>
      <c r="D50" s="32"/>
      <c r="E50" s="32"/>
      <c r="F50" s="32"/>
      <c r="G50" s="32"/>
    </row>
    <row r="51" spans="3:7">
      <c r="C51" s="32"/>
      <c r="D51" s="32"/>
      <c r="E51" s="32"/>
      <c r="F51" s="32"/>
      <c r="G51" s="32"/>
    </row>
    <row r="52" spans="3:7">
      <c r="C52" s="32"/>
      <c r="D52" s="32"/>
      <c r="E52" s="32"/>
      <c r="F52" s="32"/>
      <c r="G52" s="32"/>
    </row>
    <row r="53" spans="3:7">
      <c r="C53" s="32"/>
      <c r="D53" s="32"/>
      <c r="E53" s="32"/>
      <c r="F53" s="32"/>
      <c r="G53" s="32"/>
    </row>
    <row r="54" spans="3:7">
      <c r="C54" s="32"/>
      <c r="D54" s="32"/>
      <c r="E54" s="32"/>
      <c r="F54" s="32"/>
      <c r="G54" s="32"/>
    </row>
    <row r="55" spans="3:7">
      <c r="C55" s="32"/>
      <c r="D55" s="32"/>
      <c r="E55" s="32"/>
      <c r="F55" s="32"/>
      <c r="G55" s="32"/>
    </row>
    <row r="56" spans="3:7">
      <c r="C56" s="32"/>
      <c r="D56" s="32"/>
      <c r="E56" s="32"/>
      <c r="F56" s="32"/>
      <c r="G56" s="32"/>
    </row>
    <row r="57" spans="3:7">
      <c r="C57" s="26"/>
    </row>
    <row r="58" spans="3:7">
      <c r="C58" s="26"/>
    </row>
    <row r="59" spans="3:7">
      <c r="C59" s="26"/>
    </row>
    <row r="60" spans="3:7">
      <c r="C60" s="27"/>
    </row>
    <row r="61" spans="3:7">
      <c r="C61" s="27"/>
    </row>
    <row r="62" spans="3:7">
      <c r="C62" s="27"/>
    </row>
    <row r="63" spans="3:7">
      <c r="C63" s="27"/>
    </row>
  </sheetData>
  <mergeCells count="2">
    <mergeCell ref="C2:F2"/>
    <mergeCell ref="C8:G5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zoomScaleNormal="100" workbookViewId="0">
      <pane xSplit="1" ySplit="2" topLeftCell="B23" activePane="bottomRight" state="frozen"/>
      <selection pane="bottomRight" sqref="A1:D1"/>
      <selection pane="bottomLeft" activeCell="A3" sqref="A3"/>
      <selection pane="topRight" activeCell="B1" sqref="B1"/>
    </sheetView>
  </sheetViews>
  <sheetFormatPr defaultColWidth="8.5703125" defaultRowHeight="14.45"/>
  <cols>
    <col min="1" max="1" width="46" customWidth="1"/>
    <col min="2" max="3" width="22" customWidth="1"/>
    <col min="4" max="4" width="42" customWidth="1"/>
  </cols>
  <sheetData>
    <row r="1" spans="1:4" ht="27.75" customHeight="1">
      <c r="A1" s="34"/>
      <c r="B1" s="34"/>
      <c r="C1" s="34"/>
      <c r="D1" s="34"/>
    </row>
    <row r="2" spans="1:4" ht="18" customHeight="1">
      <c r="A2" s="35" t="s">
        <v>4</v>
      </c>
      <c r="B2" s="35"/>
      <c r="C2" s="35"/>
      <c r="D2" s="35"/>
    </row>
    <row r="3" spans="1:4" ht="21.75" customHeight="1">
      <c r="A3" s="1" t="s">
        <v>5</v>
      </c>
      <c r="B3" s="2" t="s">
        <v>6</v>
      </c>
      <c r="C3" s="3" t="s">
        <v>7</v>
      </c>
      <c r="D3" s="4" t="s">
        <v>8</v>
      </c>
    </row>
    <row r="4" spans="1:4" ht="15.75" customHeight="1">
      <c r="A4" s="33" t="s">
        <v>9</v>
      </c>
      <c r="B4" s="33"/>
      <c r="C4" s="33"/>
      <c r="D4" s="33"/>
    </row>
    <row r="5" spans="1:4" ht="15" customHeight="1">
      <c r="A5" s="5" t="s">
        <v>10</v>
      </c>
      <c r="B5" s="6">
        <v>240</v>
      </c>
      <c r="C5" s="6">
        <v>240</v>
      </c>
      <c r="D5" s="7" t="s">
        <v>11</v>
      </c>
    </row>
    <row r="6" spans="1:4" ht="15" customHeight="1">
      <c r="A6" s="5" t="s">
        <v>12</v>
      </c>
      <c r="B6" s="6">
        <v>200</v>
      </c>
      <c r="C6" s="6">
        <v>200</v>
      </c>
      <c r="D6" s="7" t="s">
        <v>13</v>
      </c>
    </row>
    <row r="7" spans="1:4" ht="15" customHeight="1">
      <c r="A7" s="8" t="s">
        <v>14</v>
      </c>
      <c r="B7" s="9">
        <f>B5+B6</f>
        <v>440</v>
      </c>
      <c r="C7" s="9">
        <f>C5+C6</f>
        <v>440</v>
      </c>
      <c r="D7" s="10" t="s">
        <v>15</v>
      </c>
    </row>
    <row r="8" spans="1:4" ht="15" customHeight="1">
      <c r="A8" s="5" t="s">
        <v>16</v>
      </c>
      <c r="B8" s="6">
        <v>23</v>
      </c>
      <c r="C8" s="6">
        <v>23</v>
      </c>
      <c r="D8" s="7" t="s">
        <v>17</v>
      </c>
    </row>
    <row r="9" spans="1:4" ht="15" customHeight="1">
      <c r="A9" s="5" t="s">
        <v>18</v>
      </c>
      <c r="B9" s="6">
        <v>38</v>
      </c>
      <c r="C9" s="6">
        <v>38</v>
      </c>
      <c r="D9" s="7" t="s">
        <v>19</v>
      </c>
    </row>
    <row r="10" spans="1:4" ht="15" customHeight="1">
      <c r="A10" s="5" t="s">
        <v>20</v>
      </c>
      <c r="B10" s="6">
        <v>10</v>
      </c>
      <c r="C10" s="6">
        <v>12</v>
      </c>
      <c r="D10" s="7" t="s">
        <v>21</v>
      </c>
    </row>
    <row r="11" spans="1:4" ht="15" customHeight="1">
      <c r="A11" s="8" t="s">
        <v>22</v>
      </c>
      <c r="B11" s="9">
        <f>B9+B10</f>
        <v>48</v>
      </c>
      <c r="C11" s="9">
        <f>C9+C10</f>
        <v>50</v>
      </c>
      <c r="D11" s="10" t="s">
        <v>23</v>
      </c>
    </row>
    <row r="12" spans="1:4" ht="15.75" customHeight="1">
      <c r="A12" s="33" t="s">
        <v>24</v>
      </c>
      <c r="B12" s="33"/>
      <c r="C12" s="33"/>
      <c r="D12" s="33"/>
    </row>
    <row r="13" spans="1:4" ht="15" customHeight="1">
      <c r="A13" s="5" t="s">
        <v>25</v>
      </c>
      <c r="B13" s="6">
        <v>58219</v>
      </c>
      <c r="C13" s="6">
        <v>60000</v>
      </c>
      <c r="D13" s="7" t="s">
        <v>26</v>
      </c>
    </row>
    <row r="14" spans="1:4" ht="15" customHeight="1">
      <c r="A14" s="5" t="s">
        <v>27</v>
      </c>
      <c r="B14" s="6">
        <v>36000</v>
      </c>
      <c r="C14" s="6">
        <v>40000</v>
      </c>
      <c r="D14" s="7" t="s">
        <v>28</v>
      </c>
    </row>
    <row r="15" spans="1:4" ht="15" customHeight="1">
      <c r="A15" s="5" t="s">
        <v>29</v>
      </c>
      <c r="B15" s="11">
        <v>0.33800000000000002</v>
      </c>
      <c r="C15" s="11">
        <v>0.33800000000000002</v>
      </c>
      <c r="D15" s="7" t="s">
        <v>30</v>
      </c>
    </row>
    <row r="16" spans="1:4" ht="15" customHeight="1">
      <c r="A16" s="5" t="s">
        <v>31</v>
      </c>
      <c r="B16" s="12">
        <f>B13*B9*12*(1+B15)</f>
        <v>35521042.032000005</v>
      </c>
      <c r="C16" s="12">
        <f>C13*C9*12*(1+C15)</f>
        <v>36607680</v>
      </c>
      <c r="D16" s="7" t="s">
        <v>32</v>
      </c>
    </row>
    <row r="17" spans="1:4" ht="15" customHeight="1">
      <c r="A17" s="5" t="s">
        <v>33</v>
      </c>
      <c r="B17" s="12">
        <f>B14*B10*12*(1+B15)</f>
        <v>5780160</v>
      </c>
      <c r="C17" s="12">
        <f>C14*C10*12*(1+C15)</f>
        <v>7706880</v>
      </c>
      <c r="D17" s="7" t="s">
        <v>34</v>
      </c>
    </row>
    <row r="18" spans="1:4" ht="15" customHeight="1">
      <c r="A18" s="8" t="s">
        <v>35</v>
      </c>
      <c r="B18" s="13">
        <f>B16+B17</f>
        <v>41301202.032000005</v>
      </c>
      <c r="C18" s="13">
        <f>C16+C17</f>
        <v>44314560</v>
      </c>
      <c r="D18" s="10"/>
    </row>
    <row r="19" spans="1:4" ht="15.75" customHeight="1">
      <c r="A19" s="33" t="s">
        <v>36</v>
      </c>
      <c r="B19" s="33"/>
      <c r="C19" s="33"/>
      <c r="D19" s="33"/>
    </row>
    <row r="20" spans="1:4" ht="15" customHeight="1">
      <c r="A20" s="5" t="s">
        <v>37</v>
      </c>
      <c r="B20" s="14">
        <v>1800000</v>
      </c>
      <c r="C20" s="14">
        <v>2200000</v>
      </c>
      <c r="D20" s="7" t="s">
        <v>38</v>
      </c>
    </row>
    <row r="21" spans="1:4" ht="15" customHeight="1">
      <c r="A21" s="5" t="s">
        <v>39</v>
      </c>
      <c r="B21" s="14">
        <v>600000</v>
      </c>
      <c r="C21" s="14">
        <v>800000</v>
      </c>
      <c r="D21" s="7" t="s">
        <v>40</v>
      </c>
    </row>
    <row r="22" spans="1:4" ht="15" customHeight="1">
      <c r="A22" s="5" t="s">
        <v>41</v>
      </c>
      <c r="B22" s="14">
        <v>400000</v>
      </c>
      <c r="C22" s="14">
        <v>500000</v>
      </c>
      <c r="D22" s="7" t="s">
        <v>42</v>
      </c>
    </row>
    <row r="23" spans="1:4" ht="15" customHeight="1">
      <c r="A23" s="5" t="s">
        <v>43</v>
      </c>
      <c r="B23" s="14">
        <v>300000</v>
      </c>
      <c r="C23" s="14">
        <v>600000</v>
      </c>
      <c r="D23" s="7" t="s">
        <v>44</v>
      </c>
    </row>
    <row r="24" spans="1:4" ht="15" customHeight="1">
      <c r="A24" s="5" t="s">
        <v>45</v>
      </c>
      <c r="B24" s="14">
        <v>250000</v>
      </c>
      <c r="C24" s="14">
        <v>300000</v>
      </c>
      <c r="D24" s="7" t="s">
        <v>46</v>
      </c>
    </row>
    <row r="25" spans="1:4" ht="15" customHeight="1">
      <c r="A25" s="5" t="s">
        <v>47</v>
      </c>
      <c r="B25" s="14">
        <v>200000</v>
      </c>
      <c r="C25" s="14">
        <v>250000</v>
      </c>
      <c r="D25" s="7" t="s">
        <v>48</v>
      </c>
    </row>
    <row r="26" spans="1:4" ht="15" customHeight="1">
      <c r="A26" s="5" t="s">
        <v>49</v>
      </c>
      <c r="B26" s="14">
        <v>300000</v>
      </c>
      <c r="C26" s="14">
        <v>500000</v>
      </c>
      <c r="D26" s="7" t="s">
        <v>50</v>
      </c>
    </row>
    <row r="27" spans="1:4" ht="15" customHeight="1">
      <c r="A27" s="8" t="s">
        <v>51</v>
      </c>
      <c r="B27" s="13">
        <f>SUM(B20:B26)</f>
        <v>3850000</v>
      </c>
      <c r="C27" s="13">
        <f>SUM(C20:C26)</f>
        <v>5150000</v>
      </c>
      <c r="D27" s="10"/>
    </row>
    <row r="28" spans="1:4" ht="15.75" customHeight="1">
      <c r="A28" s="33" t="s">
        <v>52</v>
      </c>
      <c r="B28" s="33"/>
      <c r="C28" s="33"/>
      <c r="D28" s="33"/>
    </row>
    <row r="29" spans="1:4" ht="15" customHeight="1">
      <c r="A29" s="5" t="s">
        <v>53</v>
      </c>
      <c r="B29" s="12">
        <f>B18</f>
        <v>41301202.032000005</v>
      </c>
      <c r="C29" s="12">
        <f>C18</f>
        <v>44314560</v>
      </c>
      <c r="D29" s="7" t="s">
        <v>54</v>
      </c>
    </row>
    <row r="30" spans="1:4" ht="15" customHeight="1">
      <c r="A30" s="5" t="s">
        <v>55</v>
      </c>
      <c r="B30" s="12">
        <f>B27</f>
        <v>3850000</v>
      </c>
      <c r="C30" s="12">
        <f>C27</f>
        <v>5150000</v>
      </c>
      <c r="D30" s="7" t="s">
        <v>56</v>
      </c>
    </row>
    <row r="31" spans="1:4" ht="15" customHeight="1">
      <c r="A31" s="8" t="s">
        <v>57</v>
      </c>
      <c r="B31" s="13">
        <f>B29+B30</f>
        <v>45151202.032000005</v>
      </c>
      <c r="C31" s="13">
        <f>C29+C30</f>
        <v>49464560</v>
      </c>
      <c r="D31" s="10"/>
    </row>
  </sheetData>
  <mergeCells count="6">
    <mergeCell ref="A28:D28"/>
    <mergeCell ref="A1:D1"/>
    <mergeCell ref="A2:D2"/>
    <mergeCell ref="A4:D4"/>
    <mergeCell ref="A12:D12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xSplit="1" ySplit="2" topLeftCell="B20" activePane="bottomRight" state="frozen"/>
      <selection pane="bottomRight" sqref="A1:D1"/>
      <selection pane="bottomLeft" activeCell="A3" sqref="A3"/>
      <selection pane="topRight" activeCell="B1" sqref="B1"/>
    </sheetView>
  </sheetViews>
  <sheetFormatPr defaultColWidth="8.5703125" defaultRowHeight="14.45"/>
  <cols>
    <col min="1" max="1" width="52" customWidth="1"/>
    <col min="2" max="3" width="22" customWidth="1"/>
    <col min="4" max="4" width="42" customWidth="1"/>
  </cols>
  <sheetData>
    <row r="1" spans="1:4" ht="27.75" customHeight="1">
      <c r="A1" s="34" t="s">
        <v>58</v>
      </c>
      <c r="B1" s="34"/>
      <c r="C1" s="34"/>
      <c r="D1" s="34"/>
    </row>
    <row r="2" spans="1:4" ht="18" customHeight="1">
      <c r="A2" s="35" t="s">
        <v>59</v>
      </c>
      <c r="B2" s="35"/>
      <c r="C2" s="35"/>
      <c r="D2" s="35"/>
    </row>
    <row r="3" spans="1:4" ht="26.1">
      <c r="A3" s="1" t="s">
        <v>60</v>
      </c>
      <c r="B3" s="2" t="s">
        <v>61</v>
      </c>
      <c r="C3" s="3" t="s">
        <v>62</v>
      </c>
      <c r="D3" s="4" t="s">
        <v>63</v>
      </c>
    </row>
    <row r="4" spans="1:4" ht="15.75" customHeight="1">
      <c r="A4" s="33" t="s">
        <v>64</v>
      </c>
      <c r="B4" s="33"/>
      <c r="C4" s="33"/>
      <c r="D4" s="33"/>
    </row>
    <row r="5" spans="1:4" ht="29.25" customHeight="1">
      <c r="A5" s="5" t="s">
        <v>65</v>
      </c>
      <c r="B5" s="14">
        <v>58000</v>
      </c>
      <c r="C5" s="14">
        <v>58000</v>
      </c>
      <c r="D5" s="7" t="s">
        <v>66</v>
      </c>
    </row>
    <row r="6" spans="1:4" ht="15" customHeight="1">
      <c r="A6" s="5" t="s">
        <v>67</v>
      </c>
      <c r="B6" s="12">
        <f>Předpoklady!B7</f>
        <v>440</v>
      </c>
      <c r="C6" s="12">
        <f>Předpoklady!C7</f>
        <v>440</v>
      </c>
      <c r="D6" s="7" t="s">
        <v>68</v>
      </c>
    </row>
    <row r="7" spans="1:4" ht="47.25" customHeight="1">
      <c r="A7" s="8" t="s">
        <v>69</v>
      </c>
      <c r="B7" s="13">
        <f>B5*B6</f>
        <v>25520000</v>
      </c>
      <c r="C7" s="13">
        <f>C5*C6</f>
        <v>25520000</v>
      </c>
      <c r="D7" s="10" t="s">
        <v>70</v>
      </c>
    </row>
    <row r="8" spans="1:4" ht="15.75" customHeight="1">
      <c r="A8" s="33" t="s">
        <v>71</v>
      </c>
      <c r="B8" s="33"/>
      <c r="C8" s="33"/>
      <c r="D8" s="33"/>
    </row>
    <row r="9" spans="1:4" ht="15" customHeight="1">
      <c r="A9" s="5" t="s">
        <v>72</v>
      </c>
      <c r="B9" s="12">
        <f>Předpoklady!B16</f>
        <v>35521042.032000005</v>
      </c>
      <c r="C9" s="12">
        <f>Předpoklady!C16</f>
        <v>36607680</v>
      </c>
      <c r="D9" s="7" t="s">
        <v>73</v>
      </c>
    </row>
    <row r="10" spans="1:4" ht="15" customHeight="1">
      <c r="A10" s="15" t="s">
        <v>74</v>
      </c>
      <c r="B10" s="16">
        <f>MAX(0,B9-B7)</f>
        <v>10001042.032000005</v>
      </c>
      <c r="C10" s="16">
        <f>MAX(0,C9-C7)</f>
        <v>11087680</v>
      </c>
      <c r="D10" s="7" t="s">
        <v>75</v>
      </c>
    </row>
    <row r="11" spans="1:4" ht="15" customHeight="1">
      <c r="A11" s="5" t="s">
        <v>76</v>
      </c>
      <c r="B11" s="12">
        <f>Předpoklady!B17</f>
        <v>5780160</v>
      </c>
      <c r="C11" s="12">
        <f>Předpoklady!C17</f>
        <v>7706880</v>
      </c>
      <c r="D11" s="7" t="s">
        <v>73</v>
      </c>
    </row>
    <row r="12" spans="1:4" ht="32.25" customHeight="1">
      <c r="A12" s="8" t="s">
        <v>77</v>
      </c>
      <c r="B12" s="13">
        <f>B10+B11</f>
        <v>15781202.032000005</v>
      </c>
      <c r="C12" s="13">
        <f>C10+C11</f>
        <v>18794560</v>
      </c>
      <c r="D12" s="10" t="s">
        <v>78</v>
      </c>
    </row>
    <row r="13" spans="1:4" ht="15.75" customHeight="1">
      <c r="A13" s="33" t="s">
        <v>79</v>
      </c>
      <c r="B13" s="33"/>
      <c r="C13" s="33"/>
      <c r="D13" s="33"/>
    </row>
    <row r="14" spans="1:4" ht="24" customHeight="1">
      <c r="A14" s="5" t="s">
        <v>80</v>
      </c>
      <c r="B14" s="14">
        <v>2000000</v>
      </c>
      <c r="C14" s="14">
        <v>1500000</v>
      </c>
      <c r="D14" s="7" t="s">
        <v>81</v>
      </c>
    </row>
    <row r="15" spans="1:4" ht="15" customHeight="1">
      <c r="A15" s="5" t="s">
        <v>82</v>
      </c>
      <c r="B15" s="12">
        <f>Předpoklady!B17</f>
        <v>5780160</v>
      </c>
      <c r="C15" s="12">
        <f>0</f>
        <v>0</v>
      </c>
      <c r="D15" s="7" t="s">
        <v>83</v>
      </c>
    </row>
    <row r="16" spans="1:4" ht="15" customHeight="1">
      <c r="A16" s="8" t="s">
        <v>84</v>
      </c>
      <c r="B16" s="13">
        <f>B14+B15</f>
        <v>7780160</v>
      </c>
      <c r="C16" s="13">
        <f>C14+C15</f>
        <v>1500000</v>
      </c>
      <c r="D16" s="10"/>
    </row>
    <row r="17" spans="1:4" ht="15.75" customHeight="1">
      <c r="A17" s="33" t="s">
        <v>85</v>
      </c>
      <c r="B17" s="33"/>
      <c r="C17" s="33"/>
      <c r="D17" s="33"/>
    </row>
    <row r="18" spans="1:4" ht="30.75" customHeight="1">
      <c r="A18" s="5" t="s">
        <v>86</v>
      </c>
      <c r="B18" s="14">
        <v>15000000</v>
      </c>
      <c r="C18" s="14">
        <v>0</v>
      </c>
      <c r="D18" s="7" t="s">
        <v>87</v>
      </c>
    </row>
    <row r="19" spans="1:4" ht="15" customHeight="1">
      <c r="A19" s="5" t="s">
        <v>88</v>
      </c>
      <c r="B19" s="14">
        <v>3000000</v>
      </c>
      <c r="C19" s="14">
        <v>5000000</v>
      </c>
      <c r="D19" s="7" t="s">
        <v>89</v>
      </c>
    </row>
    <row r="20" spans="1:4" ht="15" customHeight="1">
      <c r="A20" s="5" t="s">
        <v>90</v>
      </c>
      <c r="B20" s="14">
        <v>2000000</v>
      </c>
      <c r="C20" s="14">
        <v>3000000</v>
      </c>
      <c r="D20" s="7" t="s">
        <v>91</v>
      </c>
    </row>
    <row r="21" spans="1:4" ht="15" customHeight="1">
      <c r="A21" s="8" t="s">
        <v>92</v>
      </c>
      <c r="B21" s="13">
        <f>SUM(B18:B20)</f>
        <v>20000000</v>
      </c>
      <c r="C21" s="13">
        <f>SUM(C18:C20)</f>
        <v>8000000</v>
      </c>
      <c r="D21" s="10"/>
    </row>
    <row r="22" spans="1:4" ht="15.75" customHeight="1">
      <c r="A22" s="33" t="s">
        <v>93</v>
      </c>
      <c r="B22" s="33"/>
      <c r="C22" s="33"/>
      <c r="D22" s="33"/>
    </row>
    <row r="23" spans="1:4" ht="15" customHeight="1">
      <c r="A23" s="5" t="s">
        <v>94</v>
      </c>
      <c r="B23" s="14">
        <v>0</v>
      </c>
      <c r="C23" s="14">
        <v>4500</v>
      </c>
      <c r="D23" s="7" t="s">
        <v>95</v>
      </c>
    </row>
    <row r="24" spans="1:4" ht="15" customHeight="1">
      <c r="A24" s="5" t="s">
        <v>96</v>
      </c>
      <c r="B24" s="12">
        <v>0</v>
      </c>
      <c r="C24" s="17">
        <f>Předpoklady!C7</f>
        <v>440</v>
      </c>
      <c r="D24" s="7" t="s">
        <v>97</v>
      </c>
    </row>
    <row r="25" spans="1:4" ht="15" customHeight="1">
      <c r="A25" s="5" t="s">
        <v>98</v>
      </c>
      <c r="B25" s="6">
        <v>10</v>
      </c>
      <c r="C25" s="6">
        <v>10</v>
      </c>
      <c r="D25" s="7" t="s">
        <v>99</v>
      </c>
    </row>
    <row r="26" spans="1:4" ht="15" customHeight="1">
      <c r="A26" s="8" t="s">
        <v>100</v>
      </c>
      <c r="B26" s="13">
        <f>B23*B24*B25</f>
        <v>0</v>
      </c>
      <c r="C26" s="13">
        <f>C23*C24*C25</f>
        <v>19800000</v>
      </c>
      <c r="D26" s="10"/>
    </row>
    <row r="27" spans="1:4" ht="15.75" customHeight="1">
      <c r="A27" s="33" t="s">
        <v>101</v>
      </c>
      <c r="B27" s="33"/>
      <c r="C27" s="33"/>
      <c r="D27" s="33"/>
    </row>
    <row r="28" spans="1:4" ht="15" customHeight="1">
      <c r="A28" s="5" t="s">
        <v>102</v>
      </c>
      <c r="B28" s="14">
        <v>400000</v>
      </c>
      <c r="C28" s="14">
        <v>600000</v>
      </c>
      <c r="D28" s="7" t="s">
        <v>103</v>
      </c>
    </row>
    <row r="29" spans="1:4" ht="15" customHeight="1">
      <c r="A29" s="5" t="s">
        <v>104</v>
      </c>
      <c r="B29" s="14">
        <v>500000</v>
      </c>
      <c r="C29" s="14">
        <v>800000</v>
      </c>
      <c r="D29" s="7" t="s">
        <v>105</v>
      </c>
    </row>
    <row r="30" spans="1:4" ht="15" customHeight="1">
      <c r="A30" s="5" t="s">
        <v>106</v>
      </c>
      <c r="B30" s="14">
        <v>300000</v>
      </c>
      <c r="C30" s="14">
        <v>500000</v>
      </c>
      <c r="D30" s="7" t="s">
        <v>107</v>
      </c>
    </row>
    <row r="31" spans="1:4" ht="15" customHeight="1">
      <c r="A31" s="8" t="s">
        <v>108</v>
      </c>
      <c r="B31" s="13">
        <f>SUM(B28:B30)</f>
        <v>1200000</v>
      </c>
      <c r="C31" s="13">
        <f>SUM(C28:C30)</f>
        <v>1900000</v>
      </c>
      <c r="D31" s="10"/>
    </row>
  </sheetData>
  <mergeCells count="8">
    <mergeCell ref="A17:D17"/>
    <mergeCell ref="A22:D22"/>
    <mergeCell ref="A27:D27"/>
    <mergeCell ref="A1:D1"/>
    <mergeCell ref="A2:D2"/>
    <mergeCell ref="A4:D4"/>
    <mergeCell ref="A8:D8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Normal="100" workbookViewId="0">
      <pane xSplit="1" ySplit="2" topLeftCell="B10" activePane="bottomRight" state="frozen"/>
      <selection pane="bottomRight" activeCell="D15" sqref="D15"/>
      <selection pane="bottomLeft" activeCell="A3" sqref="A3"/>
      <selection pane="topRight" activeCell="B1" sqref="B1"/>
    </sheetView>
  </sheetViews>
  <sheetFormatPr defaultColWidth="8.5703125" defaultRowHeight="14.45"/>
  <cols>
    <col min="1" max="1" width="52" customWidth="1"/>
    <col min="2" max="3" width="22" customWidth="1"/>
    <col min="4" max="4" width="42" customWidth="1"/>
  </cols>
  <sheetData>
    <row r="1" spans="1:4" ht="27.75" customHeight="1">
      <c r="A1" s="34" t="s">
        <v>109</v>
      </c>
      <c r="B1" s="34"/>
      <c r="C1" s="34"/>
      <c r="D1" s="34"/>
    </row>
    <row r="2" spans="1:4" ht="18" customHeight="1">
      <c r="A2" s="35" t="s">
        <v>110</v>
      </c>
      <c r="B2" s="35"/>
      <c r="C2" s="35"/>
      <c r="D2" s="35"/>
    </row>
    <row r="3" spans="1:4" ht="26.1">
      <c r="A3" s="1" t="s">
        <v>111</v>
      </c>
      <c r="B3" s="2" t="s">
        <v>61</v>
      </c>
      <c r="C3" s="3" t="s">
        <v>62</v>
      </c>
      <c r="D3" s="4" t="s">
        <v>112</v>
      </c>
    </row>
    <row r="4" spans="1:4" ht="15" customHeight="1">
      <c r="A4" s="33" t="s">
        <v>113</v>
      </c>
      <c r="B4" s="33"/>
      <c r="C4" s="33"/>
      <c r="D4" s="33"/>
    </row>
    <row r="5" spans="1:4" ht="15.75" customHeight="1">
      <c r="A5" s="5" t="s">
        <v>114</v>
      </c>
      <c r="B5" s="12">
        <f>'Příjmy a financování'!B7</f>
        <v>25520000</v>
      </c>
      <c r="C5" s="12">
        <f>'Příjmy a financování'!C7</f>
        <v>25520000</v>
      </c>
      <c r="D5" s="7" t="s">
        <v>115</v>
      </c>
    </row>
    <row r="6" spans="1:4" ht="15.75" customHeight="1">
      <c r="A6" s="5" t="s">
        <v>116</v>
      </c>
      <c r="B6" s="12">
        <f>'Příjmy a financování'!B16</f>
        <v>7780160</v>
      </c>
      <c r="C6" s="12">
        <f>'Příjmy a financování'!C16</f>
        <v>1500000</v>
      </c>
      <c r="D6" s="7" t="s">
        <v>117</v>
      </c>
    </row>
    <row r="7" spans="1:4" ht="26.25" customHeight="1">
      <c r="A7" s="5" t="s">
        <v>118</v>
      </c>
      <c r="B7" s="12">
        <f>'Příjmy a financování'!B26</f>
        <v>0</v>
      </c>
      <c r="C7" s="12">
        <f>'Příjmy a financování'!C26</f>
        <v>19800000</v>
      </c>
      <c r="D7" s="7" t="s">
        <v>119</v>
      </c>
    </row>
    <row r="8" spans="1:4" ht="15.75" customHeight="1">
      <c r="A8" s="5" t="s">
        <v>120</v>
      </c>
      <c r="B8" s="12">
        <f>'Příjmy a financování'!B31</f>
        <v>1200000</v>
      </c>
      <c r="C8" s="12">
        <f>'Příjmy a financování'!C31</f>
        <v>1900000</v>
      </c>
      <c r="D8" s="7" t="s">
        <v>121</v>
      </c>
    </row>
    <row r="9" spans="1:4" ht="15.75" customHeight="1">
      <c r="A9" s="8" t="s">
        <v>122</v>
      </c>
      <c r="B9" s="13">
        <f>SUM(B5:B8)</f>
        <v>34500160</v>
      </c>
      <c r="C9" s="13">
        <f>SUM(C5:C8)</f>
        <v>48720000</v>
      </c>
      <c r="D9" s="10"/>
    </row>
    <row r="10" spans="1:4" ht="15" customHeight="1">
      <c r="A10" s="33" t="s">
        <v>123</v>
      </c>
      <c r="B10" s="33"/>
      <c r="C10" s="33"/>
      <c r="D10" s="33"/>
    </row>
    <row r="11" spans="1:4" ht="15.75" customHeight="1">
      <c r="A11" s="5" t="s">
        <v>124</v>
      </c>
      <c r="B11" s="12">
        <f>Předpoklady!B18</f>
        <v>41301202.032000005</v>
      </c>
      <c r="C11" s="12">
        <f>Předpoklady!C18</f>
        <v>44314560</v>
      </c>
      <c r="D11" s="7" t="s">
        <v>125</v>
      </c>
    </row>
    <row r="12" spans="1:4" ht="15.75" customHeight="1">
      <c r="A12" s="5" t="s">
        <v>126</v>
      </c>
      <c r="B12" s="12">
        <f>Předpoklady!B27</f>
        <v>3850000</v>
      </c>
      <c r="C12" s="12">
        <f>Předpoklady!C27</f>
        <v>5150000</v>
      </c>
      <c r="D12" s="7" t="s">
        <v>127</v>
      </c>
    </row>
    <row r="13" spans="1:4" ht="15.75" customHeight="1">
      <c r="A13" s="8" t="s">
        <v>128</v>
      </c>
      <c r="B13" s="13">
        <f>B11+B12</f>
        <v>45151202.032000005</v>
      </c>
      <c r="C13" s="13">
        <f>C11+C12</f>
        <v>49464560</v>
      </c>
      <c r="D13" s="10"/>
    </row>
    <row r="14" spans="1:4" ht="19.5" customHeight="1">
      <c r="A14" s="33" t="s">
        <v>129</v>
      </c>
      <c r="B14" s="33"/>
      <c r="C14" s="33"/>
      <c r="D14" s="33"/>
    </row>
    <row r="15" spans="1:4" ht="26.45" customHeight="1">
      <c r="A15" s="8" t="s">
        <v>130</v>
      </c>
      <c r="B15" s="18">
        <f>B9-B13</f>
        <v>-10651042.032000005</v>
      </c>
      <c r="C15" s="19">
        <f>C9-C13</f>
        <v>-744560</v>
      </c>
      <c r="D15" s="10" t="s">
        <v>131</v>
      </c>
    </row>
    <row r="17" spans="1:4" ht="15" customHeight="1">
      <c r="A17" s="33" t="s">
        <v>132</v>
      </c>
      <c r="B17" s="33"/>
      <c r="C17" s="33"/>
      <c r="D17" s="33"/>
    </row>
    <row r="18" spans="1:4" ht="15.75" customHeight="1">
      <c r="A18" s="5" t="s">
        <v>133</v>
      </c>
      <c r="B18" s="12">
        <f>Předpoklady!B16</f>
        <v>35521042.032000005</v>
      </c>
      <c r="C18" s="12">
        <f>Předpoklady!C16</f>
        <v>36607680</v>
      </c>
      <c r="D18" s="7" t="s">
        <v>134</v>
      </c>
    </row>
    <row r="19" spans="1:4" ht="15.75" customHeight="1">
      <c r="A19" s="5" t="s">
        <v>135</v>
      </c>
      <c r="B19" s="12">
        <f>B5</f>
        <v>25520000</v>
      </c>
      <c r="C19" s="12">
        <f>C5</f>
        <v>25520000</v>
      </c>
      <c r="D19" s="7"/>
    </row>
    <row r="20" spans="1:4" ht="21" customHeight="1">
      <c r="A20" s="15" t="s">
        <v>136</v>
      </c>
      <c r="B20" s="20">
        <f>IFERROR(B5/Předpoklady!B16,0)</f>
        <v>0.71844739174626915</v>
      </c>
      <c r="C20" s="20">
        <f>IFERROR(C5/Předpoklady!C16,0)</f>
        <v>0.69712147833460081</v>
      </c>
      <c r="D20" s="7" t="s">
        <v>137</v>
      </c>
    </row>
    <row r="22" spans="1:4" ht="48" customHeight="1">
      <c r="A22" s="36" t="s">
        <v>138</v>
      </c>
      <c r="B22" s="36"/>
      <c r="C22" s="36"/>
      <c r="D22" s="36"/>
    </row>
    <row r="23" spans="1:4" ht="48" customHeight="1">
      <c r="A23" s="37" t="s">
        <v>139</v>
      </c>
      <c r="B23" s="37"/>
      <c r="C23" s="37"/>
      <c r="D23" s="37"/>
    </row>
  </sheetData>
  <mergeCells count="8">
    <mergeCell ref="A17:D17"/>
    <mergeCell ref="A22:D22"/>
    <mergeCell ref="A23:D23"/>
    <mergeCell ref="A1:D1"/>
    <mergeCell ref="A2:D2"/>
    <mergeCell ref="A4:D4"/>
    <mergeCell ref="A10:D10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zoomScaleNormal="100" workbookViewId="0">
      <pane xSplit="1" ySplit="2" topLeftCell="B25" activePane="bottomRight" state="frozen"/>
      <selection pane="bottomRight" activeCell="D40" sqref="A1:XFD1048576"/>
      <selection pane="bottomLeft" activeCell="A3" sqref="A3"/>
      <selection pane="topRight" activeCell="B1" sqref="B1"/>
    </sheetView>
  </sheetViews>
  <sheetFormatPr defaultColWidth="8.5703125" defaultRowHeight="14.45"/>
  <cols>
    <col min="1" max="1" width="52" customWidth="1"/>
    <col min="2" max="3" width="22" customWidth="1"/>
    <col min="4" max="4" width="42" customWidth="1"/>
  </cols>
  <sheetData>
    <row r="1" spans="1:4" ht="27.75" customHeight="1">
      <c r="A1" s="34"/>
      <c r="B1" s="34"/>
      <c r="C1" s="34"/>
      <c r="D1" s="34"/>
    </row>
    <row r="2" spans="1:4" ht="18" customHeight="1">
      <c r="A2" s="35" t="s">
        <v>140</v>
      </c>
      <c r="B2" s="35"/>
      <c r="C2" s="35"/>
      <c r="D2" s="35"/>
    </row>
    <row r="3" spans="1:4">
      <c r="A3" s="1" t="s">
        <v>111</v>
      </c>
      <c r="B3" s="2" t="s">
        <v>141</v>
      </c>
      <c r="C3" s="3" t="s">
        <v>142</v>
      </c>
      <c r="D3" s="4" t="s">
        <v>143</v>
      </c>
    </row>
    <row r="4" spans="1:4" ht="15.75" customHeight="1">
      <c r="A4" s="33" t="s">
        <v>144</v>
      </c>
      <c r="B4" s="33"/>
      <c r="C4" s="33"/>
      <c r="D4" s="33"/>
    </row>
    <row r="5" spans="1:4" ht="15" customHeight="1">
      <c r="A5" s="5" t="s">
        <v>145</v>
      </c>
      <c r="B5" s="14">
        <v>30000000</v>
      </c>
      <c r="C5" s="14">
        <v>0</v>
      </c>
      <c r="D5" s="7" t="s">
        <v>146</v>
      </c>
    </row>
    <row r="6" spans="1:4" ht="15" customHeight="1">
      <c r="A6" s="5" t="s">
        <v>147</v>
      </c>
      <c r="B6" s="14">
        <v>0</v>
      </c>
      <c r="C6" s="14">
        <v>50000000</v>
      </c>
      <c r="D6" s="7" t="s">
        <v>148</v>
      </c>
    </row>
    <row r="7" spans="1:4" ht="32.25" customHeight="1">
      <c r="A7" s="5" t="s">
        <v>149</v>
      </c>
      <c r="B7" s="14">
        <v>0</v>
      </c>
      <c r="C7" s="14">
        <v>480000000</v>
      </c>
      <c r="D7" s="7" t="s">
        <v>150</v>
      </c>
    </row>
    <row r="8" spans="1:4" ht="15" customHeight="1">
      <c r="A8" s="5" t="s">
        <v>151</v>
      </c>
      <c r="B8" s="14">
        <v>2000000</v>
      </c>
      <c r="C8" s="14">
        <v>0</v>
      </c>
      <c r="D8" s="7" t="s">
        <v>152</v>
      </c>
    </row>
    <row r="9" spans="1:4" ht="15" customHeight="1">
      <c r="A9" s="5" t="s">
        <v>153</v>
      </c>
      <c r="B9" s="14">
        <v>3000000</v>
      </c>
      <c r="C9" s="14">
        <v>5000000</v>
      </c>
      <c r="D9" s="7" t="s">
        <v>154</v>
      </c>
    </row>
    <row r="10" spans="1:4" ht="15" customHeight="1">
      <c r="A10" s="8" t="s">
        <v>155</v>
      </c>
      <c r="B10" s="13">
        <f>SUM(B5:B9)</f>
        <v>35000000</v>
      </c>
      <c r="C10" s="13">
        <f>SUM(C5:C9)</f>
        <v>535000000</v>
      </c>
      <c r="D10" s="10"/>
    </row>
    <row r="11" spans="1:4" ht="15.75" customHeight="1">
      <c r="A11" s="33" t="s">
        <v>156</v>
      </c>
      <c r="B11" s="33"/>
      <c r="C11" s="33"/>
      <c r="D11" s="33"/>
    </row>
    <row r="12" spans="1:4" ht="15" customHeight="1">
      <c r="A12" s="5" t="s">
        <v>157</v>
      </c>
      <c r="B12" s="14">
        <v>1800000</v>
      </c>
      <c r="C12" s="14">
        <v>1800000</v>
      </c>
      <c r="D12" s="7" t="s">
        <v>158</v>
      </c>
    </row>
    <row r="13" spans="1:4" ht="15" customHeight="1">
      <c r="A13" s="5" t="s">
        <v>159</v>
      </c>
      <c r="B13" s="14">
        <v>2500000</v>
      </c>
      <c r="C13" s="14">
        <v>2500000</v>
      </c>
      <c r="D13" s="7" t="s">
        <v>160</v>
      </c>
    </row>
    <row r="14" spans="1:4" ht="15" customHeight="1">
      <c r="A14" s="5" t="s">
        <v>161</v>
      </c>
      <c r="B14" s="14">
        <v>3000000</v>
      </c>
      <c r="C14" s="14">
        <v>4000000</v>
      </c>
      <c r="D14" s="7" t="s">
        <v>162</v>
      </c>
    </row>
    <row r="15" spans="1:4" ht="15" customHeight="1">
      <c r="A15" s="5" t="s">
        <v>163</v>
      </c>
      <c r="B15" s="14">
        <v>500000</v>
      </c>
      <c r="C15" s="14">
        <v>800000</v>
      </c>
      <c r="D15" s="7"/>
    </row>
    <row r="16" spans="1:4" ht="15" customHeight="1">
      <c r="A16" s="5" t="s">
        <v>164</v>
      </c>
      <c r="B16" s="14">
        <v>1500000</v>
      </c>
      <c r="C16" s="14">
        <v>2000000</v>
      </c>
      <c r="D16" s="7" t="s">
        <v>165</v>
      </c>
    </row>
    <row r="17" spans="1:4" ht="15" customHeight="1">
      <c r="A17" s="5" t="s">
        <v>166</v>
      </c>
      <c r="B17" s="14">
        <v>1000000</v>
      </c>
      <c r="C17" s="14">
        <v>1500000</v>
      </c>
      <c r="D17" s="7" t="s">
        <v>167</v>
      </c>
    </row>
    <row r="18" spans="1:4" ht="15" customHeight="1">
      <c r="A18" s="5" t="s">
        <v>168</v>
      </c>
      <c r="B18" s="14">
        <v>2000000</v>
      </c>
      <c r="C18" s="14">
        <v>2500000</v>
      </c>
      <c r="D18" s="7"/>
    </row>
    <row r="19" spans="1:4" ht="15" customHeight="1">
      <c r="A19" s="8" t="s">
        <v>169</v>
      </c>
      <c r="B19" s="13">
        <f>SUM(B12:B18)</f>
        <v>12300000</v>
      </c>
      <c r="C19" s="13">
        <f>SUM(C12:C18)</f>
        <v>15100000</v>
      </c>
      <c r="D19" s="10"/>
    </row>
    <row r="20" spans="1:4" ht="15.75" customHeight="1">
      <c r="A20" s="33" t="s">
        <v>170</v>
      </c>
      <c r="B20" s="33"/>
      <c r="C20" s="33"/>
      <c r="D20" s="33"/>
    </row>
    <row r="21" spans="1:4" ht="15" customHeight="1">
      <c r="A21" s="5" t="s">
        <v>171</v>
      </c>
      <c r="B21" s="14">
        <v>300000</v>
      </c>
      <c r="C21" s="14">
        <v>500000</v>
      </c>
      <c r="D21" s="7" t="s">
        <v>172</v>
      </c>
    </row>
    <row r="22" spans="1:4" ht="15" customHeight="1">
      <c r="A22" s="5" t="s">
        <v>173</v>
      </c>
      <c r="B22" s="14">
        <v>500000</v>
      </c>
      <c r="C22" s="14">
        <v>700000</v>
      </c>
      <c r="D22" s="7" t="s">
        <v>174</v>
      </c>
    </row>
    <row r="23" spans="1:4" ht="15" customHeight="1">
      <c r="A23" s="5" t="s">
        <v>175</v>
      </c>
      <c r="B23" s="14">
        <v>200000</v>
      </c>
      <c r="C23" s="14">
        <v>400000</v>
      </c>
      <c r="D23" s="7" t="s">
        <v>176</v>
      </c>
    </row>
    <row r="24" spans="1:4" ht="15" customHeight="1">
      <c r="A24" s="5" t="s">
        <v>177</v>
      </c>
      <c r="B24" s="14">
        <v>10000000</v>
      </c>
      <c r="C24" s="14">
        <v>15000000</v>
      </c>
      <c r="D24" s="7" t="s">
        <v>178</v>
      </c>
    </row>
    <row r="25" spans="1:4" ht="15" customHeight="1">
      <c r="A25" s="8" t="s">
        <v>179</v>
      </c>
      <c r="B25" s="13">
        <f>SUM(B21:B24)</f>
        <v>11000000</v>
      </c>
      <c r="C25" s="13">
        <f>SUM(C21:C24)</f>
        <v>16600000</v>
      </c>
      <c r="D25" s="10"/>
    </row>
    <row r="26" spans="1:4" ht="15.75" customHeight="1">
      <c r="A26" s="33" t="s">
        <v>180</v>
      </c>
      <c r="B26" s="33"/>
      <c r="C26" s="33"/>
      <c r="D26" s="33"/>
    </row>
    <row r="27" spans="1:4" ht="15" customHeight="1">
      <c r="A27" s="5" t="s">
        <v>181</v>
      </c>
      <c r="B27" s="12">
        <f>B10</f>
        <v>35000000</v>
      </c>
      <c r="C27" s="12">
        <f>C10</f>
        <v>535000000</v>
      </c>
      <c r="D27" s="7"/>
    </row>
    <row r="28" spans="1:4" ht="15" customHeight="1">
      <c r="A28" s="5" t="s">
        <v>182</v>
      </c>
      <c r="B28" s="12">
        <f>B19</f>
        <v>12300000</v>
      </c>
      <c r="C28" s="12">
        <f>C19</f>
        <v>15100000</v>
      </c>
      <c r="D28" s="7"/>
    </row>
    <row r="29" spans="1:4" ht="15" customHeight="1">
      <c r="A29" s="5" t="s">
        <v>183</v>
      </c>
      <c r="B29" s="12">
        <f>B25</f>
        <v>11000000</v>
      </c>
      <c r="C29" s="12">
        <f>C25</f>
        <v>16600000</v>
      </c>
      <c r="D29" s="7"/>
    </row>
    <row r="30" spans="1:4" ht="15" customHeight="1">
      <c r="A30" s="8" t="s">
        <v>184</v>
      </c>
      <c r="B30" s="13">
        <f>B27+B28+B29</f>
        <v>58300000</v>
      </c>
      <c r="C30" s="13">
        <f>C27+C28+C29</f>
        <v>566700000</v>
      </c>
      <c r="D30" s="10"/>
    </row>
    <row r="31" spans="1:4" ht="15.75" customHeight="1">
      <c r="A31" s="33" t="s">
        <v>185</v>
      </c>
      <c r="B31" s="33"/>
      <c r="C31" s="33"/>
      <c r="D31" s="33"/>
    </row>
    <row r="32" spans="1:4" ht="24.75" customHeight="1">
      <c r="A32" s="5" t="s">
        <v>186</v>
      </c>
      <c r="B32" s="14">
        <v>17000000</v>
      </c>
      <c r="C32" s="14">
        <v>60000000</v>
      </c>
      <c r="D32" s="7" t="s">
        <v>187</v>
      </c>
    </row>
    <row r="33" spans="1:4" ht="29.25" customHeight="1">
      <c r="A33" s="5" t="s">
        <v>188</v>
      </c>
      <c r="B33" s="14">
        <v>10000000</v>
      </c>
      <c r="C33" s="14">
        <v>150000000</v>
      </c>
      <c r="D33" s="7" t="s">
        <v>189</v>
      </c>
    </row>
    <row r="34" spans="1:4" ht="27.75" customHeight="1">
      <c r="A34" s="5" t="s">
        <v>190</v>
      </c>
      <c r="B34" s="14">
        <v>8000000</v>
      </c>
      <c r="C34" s="14">
        <v>20000000</v>
      </c>
      <c r="D34" s="7" t="s">
        <v>191</v>
      </c>
    </row>
    <row r="35" spans="1:4" ht="15" customHeight="1">
      <c r="A35" s="8" t="s">
        <v>192</v>
      </c>
      <c r="B35" s="13">
        <f>SUM(B32:B34)</f>
        <v>35000000</v>
      </c>
      <c r="C35" s="13">
        <f>SUM(C32:C34)</f>
        <v>230000000</v>
      </c>
      <c r="D35" s="10"/>
    </row>
    <row r="36" spans="1:4" ht="23.25" customHeight="1">
      <c r="A36" s="8" t="s">
        <v>193</v>
      </c>
      <c r="B36" s="21">
        <f>MAX(0,B30-B35)</f>
        <v>23300000</v>
      </c>
      <c r="C36" s="21">
        <f>MAX(0,C30-C35)</f>
        <v>336700000</v>
      </c>
      <c r="D36" s="10" t="s">
        <v>194</v>
      </c>
    </row>
  </sheetData>
  <mergeCells count="7">
    <mergeCell ref="A26:D26"/>
    <mergeCell ref="A31:D31"/>
    <mergeCell ref="A1:D1"/>
    <mergeCell ref="A2:D2"/>
    <mergeCell ref="A4:D4"/>
    <mergeCell ref="A11:D11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opLeftCell="A6" zoomScaleNormal="100" workbookViewId="0">
      <selection activeCell="D9" sqref="D9"/>
    </sheetView>
  </sheetViews>
  <sheetFormatPr defaultColWidth="8.5703125" defaultRowHeight="14.45"/>
  <cols>
    <col min="1" max="1" width="38" customWidth="1"/>
    <col min="2" max="2" width="18" customWidth="1"/>
    <col min="3" max="3" width="55" customWidth="1"/>
    <col min="4" max="5" width="22" customWidth="1"/>
  </cols>
  <sheetData>
    <row r="1" spans="1:5" ht="27.75" customHeight="1">
      <c r="A1" s="34" t="s">
        <v>195</v>
      </c>
      <c r="B1" s="34"/>
      <c r="C1" s="34"/>
      <c r="D1" s="34"/>
      <c r="E1" s="34"/>
    </row>
    <row r="2" spans="1:5">
      <c r="A2" s="1" t="s">
        <v>196</v>
      </c>
      <c r="B2" s="1" t="s">
        <v>197</v>
      </c>
      <c r="C2" s="1" t="s">
        <v>63</v>
      </c>
      <c r="D2" s="2" t="s">
        <v>6</v>
      </c>
      <c r="E2" s="3" t="s">
        <v>7</v>
      </c>
    </row>
    <row r="3" spans="1:5" ht="15.75" customHeight="1">
      <c r="A3" s="38" t="s">
        <v>198</v>
      </c>
      <c r="B3" s="38"/>
      <c r="C3" s="38"/>
      <c r="D3" s="38"/>
      <c r="E3" s="38"/>
    </row>
    <row r="4" spans="1:5" ht="30" customHeight="1">
      <c r="A4" s="22" t="s">
        <v>199</v>
      </c>
      <c r="B4" s="23" t="s">
        <v>200</v>
      </c>
      <c r="C4" s="23" t="s">
        <v>201</v>
      </c>
      <c r="D4" s="24">
        <v>25520000</v>
      </c>
      <c r="E4" s="25">
        <v>25520000</v>
      </c>
    </row>
    <row r="5" spans="1:5" ht="30" customHeight="1">
      <c r="A5" s="22" t="s">
        <v>202</v>
      </c>
      <c r="B5" s="23" t="s">
        <v>203</v>
      </c>
      <c r="C5" s="23" t="s">
        <v>204</v>
      </c>
      <c r="D5" s="24">
        <v>2000000</v>
      </c>
      <c r="E5" s="25">
        <v>1500000</v>
      </c>
    </row>
    <row r="6" spans="1:5" ht="30" customHeight="1">
      <c r="A6" s="22" t="s">
        <v>205</v>
      </c>
      <c r="B6" s="23" t="s">
        <v>203</v>
      </c>
      <c r="C6" s="23" t="s">
        <v>206</v>
      </c>
      <c r="D6" s="24">
        <v>5760000</v>
      </c>
      <c r="E6" s="25">
        <v>0</v>
      </c>
    </row>
    <row r="7" spans="1:5" ht="15.75" customHeight="1">
      <c r="A7" s="38" t="s">
        <v>207</v>
      </c>
      <c r="B7" s="38"/>
      <c r="C7" s="38"/>
      <c r="D7" s="38"/>
      <c r="E7" s="38"/>
    </row>
    <row r="8" spans="1:5" ht="30" customHeight="1">
      <c r="A8" s="22" t="s">
        <v>208</v>
      </c>
      <c r="B8" s="23" t="s">
        <v>209</v>
      </c>
      <c r="C8" s="23" t="s">
        <v>210</v>
      </c>
      <c r="D8" s="24">
        <v>15000000</v>
      </c>
      <c r="E8" s="25">
        <v>60000000</v>
      </c>
    </row>
    <row r="9" spans="1:5" ht="30" customHeight="1">
      <c r="A9" s="22" t="s">
        <v>211</v>
      </c>
      <c r="B9" s="23" t="s">
        <v>212</v>
      </c>
      <c r="C9" s="23" t="s">
        <v>213</v>
      </c>
      <c r="D9" s="24">
        <v>2000000</v>
      </c>
      <c r="E9" s="25">
        <v>3000000</v>
      </c>
    </row>
    <row r="10" spans="1:5" ht="30" customHeight="1">
      <c r="A10" s="22" t="s">
        <v>214</v>
      </c>
      <c r="B10" s="23" t="s">
        <v>215</v>
      </c>
      <c r="C10" s="23" t="s">
        <v>216</v>
      </c>
      <c r="D10" s="24">
        <v>0</v>
      </c>
      <c r="E10" s="25">
        <v>1000000</v>
      </c>
    </row>
    <row r="11" spans="1:5" ht="15.75" customHeight="1">
      <c r="A11" s="38" t="s">
        <v>217</v>
      </c>
      <c r="B11" s="38"/>
      <c r="C11" s="38"/>
      <c r="D11" s="38"/>
      <c r="E11" s="38"/>
    </row>
    <row r="12" spans="1:5" ht="30" customHeight="1">
      <c r="A12" s="22" t="s">
        <v>218</v>
      </c>
      <c r="B12" s="23" t="s">
        <v>219</v>
      </c>
      <c r="C12" s="23" t="s">
        <v>220</v>
      </c>
      <c r="D12" s="24">
        <v>500000</v>
      </c>
      <c r="E12" s="25">
        <v>2000000</v>
      </c>
    </row>
    <row r="13" spans="1:5" ht="30" customHeight="1">
      <c r="A13" s="22" t="s">
        <v>221</v>
      </c>
      <c r="B13" s="23" t="s">
        <v>219</v>
      </c>
      <c r="C13" s="23" t="s">
        <v>222</v>
      </c>
      <c r="D13" s="24">
        <v>300000</v>
      </c>
      <c r="E13" s="25">
        <v>1000000</v>
      </c>
    </row>
    <row r="14" spans="1:5" ht="30" customHeight="1">
      <c r="A14" s="22" t="s">
        <v>223</v>
      </c>
      <c r="B14" s="23" t="s">
        <v>219</v>
      </c>
      <c r="C14" s="23" t="s">
        <v>224</v>
      </c>
      <c r="D14" s="24">
        <v>200000</v>
      </c>
      <c r="E14" s="25">
        <v>500000</v>
      </c>
    </row>
    <row r="15" spans="1:5" ht="30" customHeight="1">
      <c r="A15" s="22" t="s">
        <v>225</v>
      </c>
      <c r="B15" s="23" t="s">
        <v>219</v>
      </c>
      <c r="C15" s="23" t="s">
        <v>226</v>
      </c>
      <c r="D15" s="24">
        <v>200000</v>
      </c>
      <c r="E15" s="25">
        <v>500000</v>
      </c>
    </row>
    <row r="16" spans="1:5" ht="15.75" customHeight="1">
      <c r="A16" s="38" t="s">
        <v>227</v>
      </c>
      <c r="B16" s="38"/>
      <c r="C16" s="38"/>
      <c r="D16" s="38"/>
      <c r="E16" s="38"/>
    </row>
    <row r="17" spans="1:5" ht="30" customHeight="1">
      <c r="A17" s="22" t="s">
        <v>118</v>
      </c>
      <c r="B17" s="23" t="s">
        <v>228</v>
      </c>
      <c r="C17" s="23" t="s">
        <v>229</v>
      </c>
      <c r="D17" s="24">
        <v>0</v>
      </c>
      <c r="E17" s="25">
        <v>19800000</v>
      </c>
    </row>
    <row r="18" spans="1:5" ht="30" customHeight="1">
      <c r="A18" s="22" t="s">
        <v>230</v>
      </c>
      <c r="B18" s="23" t="s">
        <v>228</v>
      </c>
      <c r="C18" s="23" t="s">
        <v>231</v>
      </c>
      <c r="D18" s="24">
        <v>400000</v>
      </c>
      <c r="E18" s="25">
        <v>600000</v>
      </c>
    </row>
    <row r="19" spans="1:5" ht="30" customHeight="1">
      <c r="A19" s="22" t="s">
        <v>232</v>
      </c>
      <c r="B19" s="23" t="s">
        <v>228</v>
      </c>
      <c r="C19" s="23" t="s">
        <v>233</v>
      </c>
      <c r="D19" s="24">
        <v>300000</v>
      </c>
      <c r="E19" s="25">
        <v>500000</v>
      </c>
    </row>
    <row r="20" spans="1:5" ht="15.75" customHeight="1">
      <c r="A20" s="38" t="s">
        <v>234</v>
      </c>
      <c r="B20" s="38"/>
      <c r="C20" s="38"/>
      <c r="D20" s="38"/>
      <c r="E20" s="38"/>
    </row>
    <row r="21" spans="1:5" ht="30" customHeight="1">
      <c r="A21" s="22" t="s">
        <v>235</v>
      </c>
      <c r="B21" s="23" t="s">
        <v>236</v>
      </c>
      <c r="C21" s="23" t="s">
        <v>237</v>
      </c>
      <c r="D21" s="24">
        <v>300000</v>
      </c>
      <c r="E21" s="25">
        <v>400000</v>
      </c>
    </row>
    <row r="22" spans="1:5" ht="30" customHeight="1">
      <c r="A22" s="22" t="s">
        <v>238</v>
      </c>
      <c r="B22" s="23" t="s">
        <v>239</v>
      </c>
      <c r="C22" s="23" t="s">
        <v>240</v>
      </c>
      <c r="D22" s="24">
        <v>0</v>
      </c>
      <c r="E22" s="25">
        <v>2000000</v>
      </c>
    </row>
    <row r="23" spans="1:5" ht="30" customHeight="1">
      <c r="A23" s="22" t="s">
        <v>241</v>
      </c>
      <c r="B23" s="23" t="s">
        <v>242</v>
      </c>
      <c r="C23" s="23" t="s">
        <v>243</v>
      </c>
      <c r="D23" s="24">
        <v>0</v>
      </c>
      <c r="E23" s="25">
        <v>500000</v>
      </c>
    </row>
  </sheetData>
  <mergeCells count="6">
    <mergeCell ref="A20:E20"/>
    <mergeCell ref="A1:E1"/>
    <mergeCell ref="A3:E3"/>
    <mergeCell ref="A7:E7"/>
    <mergeCell ref="A11:E11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2026-06-08T08:26:03Z</dcterms:created>
  <dcterms:modified xsi:type="dcterms:W3CDTF">2026-06-08T09:59:13Z</dcterms:modified>
  <cp:category/>
  <cp:contentStatus/>
</cp:coreProperties>
</file>